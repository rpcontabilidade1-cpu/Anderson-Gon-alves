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a" sheetId="1" state="visible" r:id="rId1"/>
    <sheet name="Parâmetros" sheetId="2" state="visible" r:id="rId2"/>
    <sheet name="Dados de Entrada" sheetId="3" state="visible" r:id="rId3"/>
    <sheet name="Cálculo Regime Atual" sheetId="4" state="visible" r:id="rId4"/>
    <sheet name="Cálculo Reforma 2027-2033" sheetId="5" state="visible" r:id="rId5"/>
    <sheet name="Comparativo Consolidado" sheetId="6" state="visible" r:id="rId6"/>
    <sheet name="Simples - Único x Híbrido" sheetId="7" state="visible" r:id="rId7"/>
    <sheet name="Memória de Cálculo" sheetId="8" state="visible" r:id="rId8"/>
  </sheets>
  <definedNames/>
  <calcPr calcId="124519" fullCalcOnLoad="1"/>
</workbook>
</file>

<file path=xl/styles.xml><?xml version="1.0" encoding="utf-8"?>
<styleSheet xmlns="http://schemas.openxmlformats.org/spreadsheetml/2006/main">
  <numFmts count="4">
    <numFmt numFmtId="164" formatCode="0.0%"/>
    <numFmt numFmtId="165" formatCode="&quot;R$&quot; #,##0.00;[RED]-&quot;R$&quot; #,##0.00"/>
    <numFmt numFmtId="166" formatCode="0.0000"/>
    <numFmt numFmtId="167" formatCode="#,##0.00;[RED]-#,##0.00"/>
  </numFmts>
  <fonts count="14">
    <font>
      <name val="Calibri"/>
      <family val="2"/>
      <color theme="1"/>
      <sz val="11"/>
      <scheme val="minor"/>
    </font>
    <font>
      <name val="Arial"/>
      <b val="1"/>
      <color rgb="00FFFFFF"/>
      <sz val="16"/>
    </font>
    <font>
      <name val="Arial"/>
      <b val="1"/>
      <color rgb="00FFFFFF"/>
      <sz val="11"/>
    </font>
    <font>
      <name val="Arial"/>
      <b val="1"/>
      <sz val="10"/>
    </font>
    <font>
      <name val="Arial"/>
      <b val="1"/>
      <color rgb="000000FF"/>
      <sz val="10"/>
    </font>
    <font>
      <name val="Arial"/>
      <color rgb="00000000"/>
      <sz val="10"/>
    </font>
    <font>
      <name val="Arial"/>
      <b val="1"/>
      <color rgb="00FFFFFF"/>
      <sz val="12"/>
    </font>
    <font>
      <name val="Arial"/>
      <sz val="10"/>
    </font>
    <font>
      <name val="Arial"/>
      <color rgb="00008000"/>
      <sz val="10"/>
    </font>
    <font>
      <name val="Arial"/>
      <b val="1"/>
      <color rgb="00FFFFFF"/>
      <sz val="10"/>
    </font>
    <font>
      <name val="Arial"/>
      <i val="1"/>
      <sz val="9"/>
    </font>
    <font>
      <name val="Arial"/>
      <sz val="9"/>
    </font>
    <font>
      <name val="Arial"/>
      <i val="1"/>
      <sz val="8"/>
    </font>
    <font>
      <name val="Arial"/>
      <b val="1"/>
      <color rgb="001F4E78"/>
      <sz val="11"/>
    </font>
  </fonts>
  <fills count="8">
    <fill>
      <patternFill/>
    </fill>
    <fill>
      <patternFill patternType="gray125"/>
    </fill>
    <fill>
      <patternFill patternType="solid">
        <fgColor rgb="001F4E78"/>
      </patternFill>
    </fill>
    <fill>
      <patternFill patternType="solid">
        <fgColor rgb="002E75B6"/>
      </patternFill>
    </fill>
    <fill>
      <patternFill patternType="solid">
        <fgColor rgb="00FFF2CC"/>
      </patternFill>
    </fill>
    <fill>
      <patternFill patternType="solid">
        <fgColor rgb="00FFFF00"/>
      </patternFill>
    </fill>
    <fill>
      <patternFill patternType="solid">
        <fgColor rgb="00C6E0B4"/>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pivotButton="0" quotePrefix="0" xfId="0"/>
    <xf numFmtId="0" fontId="4" fillId="4" borderId="1" pivotButton="0" quotePrefix="0" xfId="0"/>
    <xf numFmtId="0" fontId="5" fillId="0" borderId="0" pivotButton="0" quotePrefix="0" xfId="0"/>
    <xf numFmtId="0" fontId="6" fillId="3" borderId="0" applyAlignment="1" pivotButton="0" quotePrefix="0" xfId="0">
      <alignment horizontal="left" vertical="center" indent="1"/>
    </xf>
    <xf numFmtId="0" fontId="7" fillId="0" borderId="0" applyAlignment="1" pivotButton="0" quotePrefix="0" xfId="0">
      <alignment vertical="top" wrapText="1"/>
    </xf>
    <xf numFmtId="0" fontId="4" fillId="4" borderId="1" applyAlignment="1" pivotButton="0" quotePrefix="0" xfId="0">
      <alignment horizontal="center"/>
    </xf>
    <xf numFmtId="0" fontId="7" fillId="0" borderId="0" pivotButton="0" quotePrefix="0" xfId="0"/>
    <xf numFmtId="0" fontId="5" fillId="0" borderId="1" applyAlignment="1" pivotButton="0" quotePrefix="0" xfId="0">
      <alignment horizontal="center"/>
    </xf>
    <xf numFmtId="0" fontId="8" fillId="0" borderId="1" applyAlignment="1" pivotButton="0" quotePrefix="0" xfId="0">
      <alignment horizontal="center"/>
    </xf>
    <xf numFmtId="0" fontId="5" fillId="5" borderId="1" applyAlignment="1" pivotButton="0" quotePrefix="0" xfId="0">
      <alignment horizontal="center"/>
    </xf>
    <xf numFmtId="0" fontId="3" fillId="6" borderId="1" applyAlignment="1" pivotButton="0" quotePrefix="0" xfId="0">
      <alignment horizontal="center"/>
    </xf>
    <xf numFmtId="0" fontId="9" fillId="3" borderId="1" applyAlignment="1" pivotButton="0" quotePrefix="0" xfId="0">
      <alignment horizontal="center" vertical="center" wrapText="1"/>
    </xf>
    <xf numFmtId="10" fontId="4" fillId="4" borderId="1" pivotButton="0" quotePrefix="0" xfId="0"/>
    <xf numFmtId="0" fontId="10" fillId="0" borderId="0" applyAlignment="1" pivotButton="0" quotePrefix="0" xfId="0">
      <alignment vertical="top" wrapText="1"/>
    </xf>
    <xf numFmtId="10" fontId="4" fillId="5" borderId="1" pivotButton="0" quotePrefix="0" xfId="0"/>
    <xf numFmtId="10" fontId="3" fillId="6" borderId="1" pivotButton="0" quotePrefix="0" xfId="0"/>
    <xf numFmtId="0" fontId="10" fillId="0" borderId="0" pivotButton="0" quotePrefix="0" xfId="0"/>
    <xf numFmtId="0" fontId="3" fillId="0" borderId="1" applyAlignment="1" pivotButton="0" quotePrefix="0" xfId="0">
      <alignment horizontal="center"/>
    </xf>
    <xf numFmtId="164" fontId="4" fillId="4" borderId="1" pivotButton="0" quotePrefix="0" xfId="0"/>
    <xf numFmtId="165" fontId="4" fillId="4" borderId="1" pivotButton="0" quotePrefix="0" xfId="0"/>
    <xf numFmtId="165" fontId="3" fillId="6" borderId="1" pivotButton="0" quotePrefix="0" xfId="0"/>
    <xf numFmtId="164" fontId="3" fillId="6" borderId="1" pivotButton="0" quotePrefix="0" xfId="0"/>
    <xf numFmtId="0" fontId="8" fillId="0" borderId="1" pivotButton="0" quotePrefix="0" xfId="0"/>
    <xf numFmtId="10" fontId="8" fillId="0" borderId="1" pivotButton="0" quotePrefix="0" xfId="0"/>
    <xf numFmtId="10" fontId="5" fillId="0" borderId="1" pivotButton="0" quotePrefix="0" xfId="0"/>
    <xf numFmtId="165" fontId="5" fillId="0" borderId="1" pivotButton="0" quotePrefix="0" xfId="0"/>
    <xf numFmtId="166" fontId="5" fillId="0" borderId="1" pivotButton="0" quotePrefix="0" xfId="0"/>
    <xf numFmtId="0" fontId="0" fillId="0" borderId="4" pivotButton="0" quotePrefix="0" xfId="0"/>
    <xf numFmtId="0" fontId="0" fillId="0" borderId="5" pivotButton="0" quotePrefix="0" xfId="0"/>
    <xf numFmtId="1" fontId="9" fillId="3" borderId="1" applyAlignment="1" pivotButton="0" quotePrefix="0" xfId="0">
      <alignment horizontal="center"/>
    </xf>
    <xf numFmtId="0" fontId="11" fillId="0" borderId="0" pivotButton="0" quotePrefix="0" xfId="0"/>
    <xf numFmtId="164" fontId="8" fillId="0" borderId="1" pivotButton="0" quotePrefix="0" xfId="0"/>
    <xf numFmtId="0" fontId="11" fillId="0" borderId="0" applyAlignment="1" pivotButton="0" quotePrefix="0" xfId="0">
      <alignment vertical="top" wrapText="1"/>
    </xf>
    <xf numFmtId="0" fontId="12" fillId="0" borderId="0" applyAlignment="1" pivotButton="0" quotePrefix="0" xfId="0">
      <alignment vertical="top" wrapText="1"/>
    </xf>
    <xf numFmtId="167" fontId="5" fillId="0" borderId="1" pivotButton="0" quotePrefix="0" xfId="0"/>
    <xf numFmtId="167" fontId="3" fillId="6" borderId="1" pivotButton="0" quotePrefix="0" xfId="0"/>
    <xf numFmtId="164" fontId="5" fillId="0" borderId="1" pivotButton="0" quotePrefix="0" xfId="0"/>
    <xf numFmtId="1" fontId="3" fillId="0" borderId="1" applyAlignment="1" pivotButton="0" quotePrefix="0" xfId="0">
      <alignment horizontal="center"/>
    </xf>
    <xf numFmtId="1" fontId="3" fillId="7" borderId="1" applyAlignment="1" pivotButton="0" quotePrefix="0" xfId="0">
      <alignment horizontal="center"/>
    </xf>
    <xf numFmtId="10" fontId="5" fillId="7" borderId="1" pivotButton="0" quotePrefix="0" xfId="0"/>
    <xf numFmtId="165" fontId="5" fillId="7" borderId="1" pivotButton="0" quotePrefix="0" xfId="0"/>
    <xf numFmtId="164" fontId="5" fillId="7" borderId="1" pivotButton="0" quotePrefix="0" xfId="0"/>
    <xf numFmtId="164" fontId="4" fillId="5" borderId="1" pivotButton="0" quotePrefix="0" xfId="0"/>
    <xf numFmtId="0" fontId="5" fillId="0" borderId="1" pivotButton="0" quotePrefix="0" xfId="0"/>
    <xf numFmtId="0" fontId="3" fillId="6" borderId="1"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Carga Tributária Efetiva (%) — 2026 a 2033</a:t>
            </a:r>
          </a:p>
        </rich>
      </tx>
    </title>
    <plotArea>
      <lineChart>
        <grouping val="standard"/>
        <ser>
          <idx val="0"/>
          <order val="0"/>
          <tx>
            <strRef>
              <f>'Comparativo Consolidado'!C7</f>
            </strRef>
          </tx>
          <spPr>
            <a:ln>
              <a:prstDash val="solid"/>
            </a:ln>
          </spPr>
          <marker>
            <symbol val="none"/>
            <spPr>
              <a:ln>
                <a:prstDash val="solid"/>
              </a:ln>
            </spPr>
          </marker>
          <cat>
            <numRef>
              <f>'Comparativo Consolidado'!$B$8:$B$15</f>
            </numRef>
          </cat>
          <val>
            <numRef>
              <f>'Comparativo Consolidado'!$C$8:$C$15</f>
            </numRef>
          </val>
        </ser>
        <axId val="10"/>
        <axId val="100"/>
      </lineChart>
      <catAx>
        <axId val="10"/>
        <scaling>
          <orientation val="minMax"/>
        </scaling>
        <axPos val="l"/>
        <title>
          <tx>
            <rich>
              <a:bodyPr/>
              <a:p>
                <a:pPr>
                  <a:defRPr/>
                </a:pPr>
                <a:r>
                  <a:t>Ano</a:t>
                </a:r>
              </a:p>
            </rich>
          </tx>
        </title>
        <majorTickMark val="none"/>
        <minorTickMark val="none"/>
        <crossAx val="100"/>
        <lblOffset val="100"/>
      </catAx>
      <valAx>
        <axId val="100"/>
        <scaling>
          <orientation val="minMax"/>
        </scaling>
        <axPos val="l"/>
        <majorGridlines/>
        <title>
          <tx>
            <rich>
              <a:bodyPr/>
              <a:p>
                <a:pPr>
                  <a:defRPr/>
                </a:pPr>
                <a:r>
                  <a:t>Carga Tributária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Preço de Venda Necessário (R$) — 2026 a 2033</a:t>
            </a:r>
          </a:p>
        </rich>
      </tx>
    </title>
    <plotArea>
      <barChart>
        <barDir val="col"/>
        <grouping val="clustered"/>
        <ser>
          <idx val="0"/>
          <order val="0"/>
          <tx>
            <strRef>
              <f>'Comparativo Consolidado'!D7</f>
            </strRef>
          </tx>
          <spPr>
            <a:ln>
              <a:prstDash val="solid"/>
            </a:ln>
          </spPr>
          <cat>
            <numRef>
              <f>'Comparativo Consolidado'!$B$8:$B$15</f>
            </numRef>
          </cat>
          <val>
            <numRef>
              <f>'Comparativo Consolidado'!$D$8:$D$15</f>
            </numRef>
          </val>
        </ser>
        <gapWidth val="150"/>
        <axId val="10"/>
        <axId val="100"/>
      </barChart>
      <catAx>
        <axId val="10"/>
        <scaling>
          <orientation val="minMax"/>
        </scaling>
        <axPos val="l"/>
        <title>
          <tx>
            <rich>
              <a:bodyPr/>
              <a:p>
                <a:pPr>
                  <a:defRPr/>
                </a:pPr>
                <a:r>
                  <a:t>Ano</a:t>
                </a:r>
              </a:p>
            </rich>
          </tx>
        </title>
        <majorTickMark val="none"/>
        <minorTickMark val="none"/>
        <crossAx val="100"/>
        <lblOffset val="100"/>
      </catAx>
      <valAx>
        <axId val="100"/>
        <scaling>
          <orientation val="minMax"/>
        </scaling>
        <axPos val="l"/>
        <majorGridlines/>
        <title>
          <tx>
            <rich>
              <a:bodyPr/>
              <a:p>
                <a:pPr>
                  <a:defRPr/>
                </a:pPr>
                <a:r>
                  <a:t>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34</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F30"/>
  <sheetViews>
    <sheetView showGridLines="0" workbookViewId="0">
      <selection activeCell="A1" sqref="A1"/>
    </sheetView>
  </sheetViews>
  <sheetFormatPr baseColWidth="8" defaultRowHeight="15" outlineLevelCol="0"/>
  <cols>
    <col width="3" customWidth="1" min="1" max="1"/>
    <col width="34" customWidth="1" min="2" max="2"/>
    <col width="46" customWidth="1" min="3" max="3"/>
    <col width="20" customWidth="1" min="4" max="4"/>
    <col width="20" customWidth="1" min="5" max="5"/>
    <col width="20" customWidth="1" min="6" max="6"/>
  </cols>
  <sheetData>
    <row r="2" ht="30" customHeight="1">
      <c r="B2" s="1" t="inlineStr">
        <is>
          <t>SISTEMA DE PRECIFICAÇÃO TRIBUTÁRIA</t>
        </is>
      </c>
    </row>
    <row r="3"/>
    <row r="4" ht="22" customHeight="1">
      <c r="B4" s="2" t="inlineStr">
        <is>
          <t>Regime Atual  x  Reforma Tributária (CBS / IBS / IS) — Transição 2026–2033</t>
        </is>
      </c>
    </row>
    <row r="6">
      <c r="B6" s="3" t="inlineStr">
        <is>
          <t>Elaborado para:</t>
        </is>
      </c>
      <c r="C6" s="4" t="inlineStr">
        <is>
          <t>[Nome do Cliente]</t>
        </is>
      </c>
    </row>
    <row r="7">
      <c r="B7" s="3" t="inlineStr">
        <is>
          <t>Elaborado por:</t>
        </is>
      </c>
      <c r="C7" s="4" t="inlineStr">
        <is>
          <t>[Contador(a) / Consultor(a) Responsável]</t>
        </is>
      </c>
    </row>
    <row r="8">
      <c r="B8" s="3" t="inlineStr">
        <is>
          <t>Data de referência:</t>
        </is>
      </c>
      <c r="C8" s="5" t="inlineStr">
        <is>
          <t>29/07/2026</t>
        </is>
      </c>
    </row>
    <row r="10" ht="20" customHeight="1">
      <c r="B10" s="6" t="inlineStr">
        <is>
          <t>COMO USAR ESTA PLANILHA</t>
        </is>
      </c>
    </row>
    <row r="11" ht="28" customHeight="1">
      <c r="B11" s="7" t="inlineStr">
        <is>
          <t>1. Aba 'Parâmetros': revise as alíquotas do regime atual e as estimativas de CBS/IBS/IS e o cronograma de transição. Ajuste sempre que houver nova regulamentação (Lei Complementar / Resolução do Senado).</t>
        </is>
      </c>
    </row>
    <row r="12" ht="28" customHeight="1">
      <c r="B12" s="7" t="inlineStr">
        <is>
          <t>2. Aba 'Dados de Entrada': preencha os dados do produto/serviço, regime tributário do cliente, custos, despesas e margem desejada.</t>
        </is>
      </c>
    </row>
    <row r="13" ht="28" customHeight="1">
      <c r="B13" s="7" t="inlineStr">
        <is>
          <t>3. Aba 'Cálculo Regime Atual': mostra a carga tributária e o preço de venda ANTES da Reforma (Simples Nacional, Lucro Presumido e Lucro Real).</t>
        </is>
      </c>
    </row>
    <row r="14" ht="28" customHeight="1">
      <c r="B14" s="7" t="inlineStr">
        <is>
          <t>4. Aba 'Cálculo Reforma 2027-2033': mostra, ano a ano, a carga tributária efetiva (CBS+IBS+IS) durante a transição e o preço de venda necessário.</t>
        </is>
      </c>
    </row>
    <row r="15" ht="28" customHeight="1">
      <c r="B15" s="7" t="inlineStr">
        <is>
          <t>5. Aba 'Comparativo Consolidado': resume a evolução da carga tributária e do preço de venda de 2026 a 2033, com gráfico.</t>
        </is>
      </c>
    </row>
    <row r="16" ht="28" customHeight="1">
      <c r="B16" s="7" t="inlineStr">
        <is>
          <t>6. Aba 'Simples - Único x Híbrido': exclusiva para clientes do Simples Nacional — compara o Regime Único (IBS/CBS por dentro do DAS) com o Regime Híbrido (por fora, crédito pleno ao comprador B2B), conforme LC 214/2025, art. 41 §3º.</t>
        </is>
      </c>
    </row>
    <row r="17" ht="28" customHeight="1">
      <c r="B17" s="7" t="inlineStr">
        <is>
          <t>7. Aba 'Memória de Cálculo': documenta fórmulas, premissas, fontes legais e observações técnicas.</t>
        </is>
      </c>
    </row>
    <row r="19" ht="20" customHeight="1">
      <c r="B19" s="6" t="inlineStr">
        <is>
          <t>LEGENDA DE CORES</t>
        </is>
      </c>
    </row>
    <row r="20">
      <c r="B20" s="8" t="inlineStr">
        <is>
          <t xml:space="preserve">  Exemplo  </t>
        </is>
      </c>
      <c r="C20" s="9" t="inlineStr">
        <is>
          <t>Célula de entrada — edite aqui</t>
        </is>
      </c>
    </row>
    <row r="21">
      <c r="B21" s="10" t="inlineStr">
        <is>
          <t xml:space="preserve">  Exemplo  </t>
        </is>
      </c>
      <c r="C21" s="9" t="inlineStr">
        <is>
          <t>Fórmula — não editar</t>
        </is>
      </c>
    </row>
    <row r="22">
      <c r="B22" s="11" t="inlineStr">
        <is>
          <t xml:space="preserve">  Exemplo  </t>
        </is>
      </c>
      <c r="C22" s="9" t="inlineStr">
        <is>
          <t>Link/referência para outra aba</t>
        </is>
      </c>
    </row>
    <row r="23">
      <c r="B23" s="12" t="inlineStr">
        <is>
          <t xml:space="preserve">  Exemplo  </t>
        </is>
      </c>
      <c r="C23" s="9" t="inlineStr">
        <is>
          <t>Premissa-chave / estimativa a confirmar na regulamentação</t>
        </is>
      </c>
    </row>
    <row r="24">
      <c r="B24" s="13" t="inlineStr">
        <is>
          <t xml:space="preserve">  Exemplo  </t>
        </is>
      </c>
      <c r="C24" s="9" t="inlineStr">
        <is>
          <t>Resultado / total</t>
        </is>
      </c>
    </row>
    <row r="26" ht="20" customHeight="1">
      <c r="B26" s="6" t="inlineStr">
        <is>
          <t>AVISO IMPORTANTE</t>
        </is>
      </c>
    </row>
    <row r="27" ht="18" customHeight="1">
      <c r="B27" s="7" t="inlineStr">
        <is>
          <t>As alíquotas de referência da CBS e do IBS ainda dependem de regulamentação final (Resolução do Senado Federal, nos termos do art. 156-A e art. 195, V, da CF/88, com redação da EC 132/2023, e da LC 214/2025). Os percentuais aqui utilizados são ESTIMATIVAS técnicas (Ministério da Fazenda / IFI, 2024-2025) para fins de simulação e devem ser atualizados pelo contador assim que os valores oficiais forem publicados. Esta planilha é uma ferramenta de apoio gerencial e não substitui a apuração fiscal formal.</t>
        </is>
      </c>
    </row>
    <row r="28" ht="18" customHeight="1"/>
    <row r="29" ht="18" customHeight="1"/>
    <row r="30" ht="18" customHeight="1"/>
  </sheetData>
  <mergeCells count="13">
    <mergeCell ref="B4:F4"/>
    <mergeCell ref="B12:F12"/>
    <mergeCell ref="B26:F26"/>
    <mergeCell ref="B16:F16"/>
    <mergeCell ref="B15:F15"/>
    <mergeCell ref="B2:F3"/>
    <mergeCell ref="B11:F11"/>
    <mergeCell ref="B10:F10"/>
    <mergeCell ref="B19:F19"/>
    <mergeCell ref="B27:F30"/>
    <mergeCell ref="B14:F14"/>
    <mergeCell ref="B17:F17"/>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3" customWidth="1" min="1" max="1"/>
    <col width="44" customWidth="1" min="2" max="2"/>
    <col width="14" customWidth="1" min="3" max="3"/>
    <col width="50" customWidth="1" min="4" max="4"/>
  </cols>
  <sheetData>
    <row r="2" ht="24" customHeight="1">
      <c r="B2" s="1" t="inlineStr">
        <is>
          <t>PARÂMETROS TRIBUTÁRIOS</t>
        </is>
      </c>
    </row>
    <row r="4" ht="20" customHeight="1">
      <c r="B4" s="6" t="inlineStr">
        <is>
          <t>1. TRIBUTOS DO REGIME ATUAL (ANTES DA REFORMA)</t>
        </is>
      </c>
    </row>
    <row r="5" ht="30" customHeight="1">
      <c r="B5" s="14" t="inlineStr">
        <is>
          <t>Tributo / Parâmetro</t>
        </is>
      </c>
      <c r="C5" s="14" t="inlineStr">
        <is>
          <t>Alíquota</t>
        </is>
      </c>
      <c r="D5" s="14" t="inlineStr">
        <is>
          <t>Observação</t>
        </is>
      </c>
    </row>
    <row r="6" ht="26" customHeight="1">
      <c r="B6" s="9" t="inlineStr">
        <is>
          <t>PIS – Regime Cumulativo (Lucro Presumido)</t>
        </is>
      </c>
      <c r="C6" s="15" t="n">
        <v>0.0065</v>
      </c>
      <c r="D6" s="16" t="inlineStr">
        <is>
          <t>Lei 9.715/1998. Base: receita bruta, sem direito a crédito.</t>
        </is>
      </c>
    </row>
    <row r="7" ht="26" customHeight="1">
      <c r="B7" s="9" t="inlineStr">
        <is>
          <t>PIS – Regime Não Cumulativo (Lucro Real)</t>
        </is>
      </c>
      <c r="C7" s="15" t="n">
        <v>0.0165</v>
      </c>
      <c r="D7" s="16" t="inlineStr">
        <is>
          <t>Lei 10.637/2002. Permite crédito sobre insumos.</t>
        </is>
      </c>
    </row>
    <row r="8" ht="26" customHeight="1">
      <c r="B8" s="9" t="inlineStr">
        <is>
          <t>COFINS – Regime Cumulativo (Lucro Presumido)</t>
        </is>
      </c>
      <c r="C8" s="15" t="n">
        <v>0.03</v>
      </c>
      <c r="D8" s="16" t="inlineStr">
        <is>
          <t>Lei 9.718/1998. Base: receita bruta, sem direito a crédito.</t>
        </is>
      </c>
    </row>
    <row r="9" ht="26" customHeight="1">
      <c r="B9" s="9" t="inlineStr">
        <is>
          <t>COFINS – Regime Não Cumulativo (Lucro Real)</t>
        </is>
      </c>
      <c r="C9" s="15" t="n">
        <v>0.076</v>
      </c>
      <c r="D9" s="16" t="inlineStr">
        <is>
          <t>Lei 10.833/2003. Permite crédito sobre insumos.</t>
        </is>
      </c>
    </row>
    <row r="10" ht="26" customHeight="1">
      <c r="B10" s="9" t="inlineStr">
        <is>
          <t>ICMS – Alíquota Interna (UF do cliente)</t>
        </is>
      </c>
      <c r="C10" s="15" t="n">
        <v>0.18</v>
      </c>
      <c r="D10" s="16" t="inlineStr">
        <is>
          <t>Editar conforme UF (varia de 17% a 22%). Ex.: SP 18%, RJ 20%.</t>
        </is>
      </c>
    </row>
    <row r="11" ht="26" customHeight="1">
      <c r="B11" s="9" t="inlineStr">
        <is>
          <t>ISS – Alíquota Municipal</t>
        </is>
      </c>
      <c r="C11" s="15" t="n">
        <v>0.03</v>
      </c>
      <c r="D11" s="16" t="inlineStr">
        <is>
          <t>Editar conforme município (mínimo 2% – LC 116/2003, máx. 5%).</t>
        </is>
      </c>
    </row>
    <row r="12" ht="26" customHeight="1">
      <c r="B12" s="9" t="inlineStr">
        <is>
          <t>IPI – Alíquota Média (se aplicável)</t>
        </is>
      </c>
      <c r="C12" s="15" t="n">
        <v>0.1</v>
      </c>
      <c r="D12" s="16" t="inlineStr">
        <is>
          <t>Varia por NCM/TIPI. Ajustar conforme o produto; 0% se não industrializado.</t>
        </is>
      </c>
    </row>
    <row r="13" ht="26" customHeight="1">
      <c r="B13" s="9" t="inlineStr">
        <is>
          <t>Simples Nacional – Alíquota Efetiva (DAS)</t>
        </is>
      </c>
      <c r="C13" s="15" t="n">
        <v>0.06</v>
      </c>
      <c r="D13" s="16" t="inlineStr">
        <is>
          <t>Alíquota efetiva do Anexo/Faixa do cliente (RBT12). Calcular à parte na apuração do Simples.</t>
        </is>
      </c>
    </row>
    <row r="15" ht="20" customHeight="1">
      <c r="B15" s="6" t="inlineStr">
        <is>
          <t>2. REFORMA TRIBUTÁRIA — CBS / IBS / IS (ESTIMATIVAS DE REFERÊNCIA)</t>
        </is>
      </c>
    </row>
    <row r="16" ht="30" customHeight="1">
      <c r="B16" s="14" t="inlineStr">
        <is>
          <t>Tributo / Parâmetro</t>
        </is>
      </c>
      <c r="C16" s="14" t="inlineStr">
        <is>
          <t>Alíquota</t>
        </is>
      </c>
      <c r="D16" s="14" t="inlineStr">
        <is>
          <t>Observação</t>
        </is>
      </c>
    </row>
    <row r="17" ht="26" customHeight="1">
      <c r="B17" s="9" t="inlineStr">
        <is>
          <t>CBS – Contribuição sobre Bens e Serviços (Federal)</t>
        </is>
      </c>
      <c r="C17" s="17" t="n">
        <v>0.08799999999999999</v>
      </c>
      <c r="D17" s="16" t="inlineStr">
        <is>
          <t>Estimativa técnica (Min. Fazenda / IFI, 2024-25). Substitui PIS e COFINS. Confirmar via Resolução do Senado.</t>
        </is>
      </c>
    </row>
    <row r="18" ht="26" customHeight="1">
      <c r="B18" s="9" t="inlineStr">
        <is>
          <t>IBS – Parcela Estadual</t>
        </is>
      </c>
      <c r="C18" s="17" t="n">
        <v>0.142</v>
      </c>
      <c r="D18" s="16" t="inlineStr">
        <is>
          <t>Estimativa técnica. Substitui o ICMS. Alíquota de referência fixada por Resolução do Senado (art. 156-A, §1º, XI, CF).</t>
        </is>
      </c>
    </row>
    <row r="19" ht="26" customHeight="1">
      <c r="B19" s="9" t="inlineStr">
        <is>
          <t>IBS – Parcela Municipal</t>
        </is>
      </c>
      <c r="C19" s="17" t="n">
        <v>0.035</v>
      </c>
      <c r="D19" s="16" t="inlineStr">
        <is>
          <t>Estimativa técnica. Substitui o ISS.</t>
        </is>
      </c>
    </row>
    <row r="20">
      <c r="B20" s="3" t="inlineStr">
        <is>
          <t>IBS Total (Estadual + Municipal)</t>
        </is>
      </c>
      <c r="C20" s="18">
        <f>C18+C19</f>
        <v/>
      </c>
      <c r="D20" s="19" t="inlineStr">
        <is>
          <t>Soma automática.</t>
        </is>
      </c>
    </row>
    <row r="21" ht="20" customHeight="1">
      <c r="B21" s="3" t="inlineStr">
        <is>
          <t>IVA Dual Total (CBS + IBS)</t>
        </is>
      </c>
      <c r="C21" s="18">
        <f>C17+C20</f>
        <v/>
      </c>
      <c r="D21" s="16" t="inlineStr">
        <is>
          <t>Referência: carga nominal cheia (sem créditos) quando a transição estiver 100% concluída (2033).</t>
        </is>
      </c>
    </row>
    <row r="22" ht="26" customHeight="1">
      <c r="B22" s="9" t="inlineStr">
        <is>
          <t>IS – Imposto Seletivo (produto específico)</t>
        </is>
      </c>
      <c r="C22" s="15" t="n">
        <v>0</v>
      </c>
      <c r="D22" s="16" t="inlineStr">
        <is>
          <t>Incide sobre produtos prejudiciais à saúde/meio ambiente (cigarros, bebidas alcoólicas, veículos poluentes, etc.). 0% se não aplicável.</t>
        </is>
      </c>
    </row>
    <row r="23" ht="46" customHeight="1">
      <c r="B23" s="9" t="inlineStr">
        <is>
          <t>Crédito Presumido – Resíduos Sólidos, CBS (Art. 170, LC 214/2025)</t>
        </is>
      </c>
      <c r="C23" s="17" t="n">
        <v>0.07000000000000001</v>
      </c>
      <c r="D23" s="16" t="inlineStr">
        <is>
          <t>Percentual fixo previsto em lei (7%) sobre aquisições de resíduos sólidos de coletores incentivados (catador pessoa física, cooperativa ou associação), para destinação final ambientalmente adequada. Vigora junto com a CBS (a partir de 2027). Exclusões no §3º do art. 170 (ex.: agrotóxicos, medicamentos, pilhas/baterias).</t>
        </is>
      </c>
    </row>
    <row r="24" ht="40" customHeight="1">
      <c r="B24" s="9" t="inlineStr">
        <is>
          <t>Crédito Presumido – Resíduos Sólidos, IBS pleno (Art. 170, LC 214/2025)</t>
        </is>
      </c>
      <c r="C24" s="17" t="n">
        <v>0.13</v>
      </c>
      <c r="D24" s="16" t="inlineStr">
        <is>
          <t>Percentual pleno (13%, a partir de 2033) sobre a mesma base. Escalonado de 1,3% (2029) a 13% (2033) na mesma proporção do cronograma de transição do IBS (aba usa o peso 'Novo Estadual/Municipal' da linha 3 abaixo para graduar automaticamente).</t>
        </is>
      </c>
    </row>
    <row r="26" ht="20" customHeight="1">
      <c r="B26" s="6" t="inlineStr">
        <is>
          <t>3. CRONOGRAMA DE TRANSIÇÃO (EC 132/2023 e LC 214/2025)</t>
        </is>
      </c>
    </row>
    <row r="27" ht="30" customHeight="1">
      <c r="B27" s="14" t="inlineStr">
        <is>
          <t>Ano</t>
        </is>
      </c>
      <c r="C27" s="14" t="inlineStr">
        <is>
          <t>% Antigo
(PIS/COFINS)</t>
        </is>
      </c>
      <c r="D27" s="14" t="inlineStr">
        <is>
          <t>% Novo
(CBS)</t>
        </is>
      </c>
      <c r="E27" s="14" t="inlineStr">
        <is>
          <t>% Antigo
(ICMS/ISS)</t>
        </is>
      </c>
      <c r="F27" s="14" t="inlineStr">
        <is>
          <t>% Novo
(IBS)</t>
        </is>
      </c>
      <c r="G27" s="14" t="inlineStr">
        <is>
          <t>Observações</t>
        </is>
      </c>
    </row>
    <row r="28" ht="40" customHeight="1">
      <c r="B28" s="20" t="n">
        <v>2026</v>
      </c>
      <c r="C28" s="21" t="n">
        <v>1</v>
      </c>
      <c r="D28" s="21" t="n">
        <v>0</v>
      </c>
      <c r="E28" s="21" t="n">
        <v>1</v>
      </c>
      <c r="F28" s="21" t="n">
        <v>0</v>
      </c>
      <c r="G28" s="16" t="inlineStr">
        <is>
          <t>Ano-teste: CBS 0,9% e IBS 0,1% são compensáveis com PIS/COFINS/ICMS/ISS devidos (sem custo adicional líquido).</t>
        </is>
      </c>
    </row>
    <row r="29" ht="40" customHeight="1">
      <c r="B29" s="20" t="n">
        <v>2027</v>
      </c>
      <c r="C29" s="21" t="n">
        <v>0</v>
      </c>
      <c r="D29" s="21" t="n">
        <v>1</v>
      </c>
      <c r="E29" s="21" t="n">
        <v>1</v>
      </c>
      <c r="F29" s="21" t="n">
        <v>0</v>
      </c>
      <c r="G29" s="16" t="inlineStr">
        <is>
          <t>Extinção de PIS e COFINS; CBS em alíquota cheia. IPI reduzido a 0% (exceto Zona Franca de Manaus). IBS ainda em fase de teste (0,1%).</t>
        </is>
      </c>
    </row>
    <row r="30" ht="40" customHeight="1">
      <c r="B30" s="20" t="n">
        <v>2028</v>
      </c>
      <c r="C30" s="21" t="n">
        <v>0</v>
      </c>
      <c r="D30" s="21" t="n">
        <v>1</v>
      </c>
      <c r="E30" s="21" t="n">
        <v>1</v>
      </c>
      <c r="F30" s="21" t="n">
        <v>0</v>
      </c>
      <c r="G30" s="16" t="inlineStr">
        <is>
          <t>Mantém-se a sistemática de 2027 (CBS plena / ICMS-ISS integrais).</t>
        </is>
      </c>
    </row>
    <row r="31" ht="40" customHeight="1">
      <c r="B31" s="20" t="n">
        <v>2029</v>
      </c>
      <c r="C31" s="21" t="n">
        <v>0</v>
      </c>
      <c r="D31" s="21" t="n">
        <v>1</v>
      </c>
      <c r="E31" s="21" t="n">
        <v>0.9</v>
      </c>
      <c r="F31" s="21" t="n">
        <v>0.1</v>
      </c>
      <c r="G31" s="16" t="inlineStr">
        <is>
          <t>Início da transição do IBS: redução de 10% em ICMS e ISS.</t>
        </is>
      </c>
    </row>
    <row r="32" ht="40" customHeight="1">
      <c r="B32" s="20" t="n">
        <v>2030</v>
      </c>
      <c r="C32" s="21" t="n">
        <v>0</v>
      </c>
      <c r="D32" s="21" t="n">
        <v>1</v>
      </c>
      <c r="E32" s="21" t="n">
        <v>0.8</v>
      </c>
      <c r="F32" s="21" t="n">
        <v>0.2</v>
      </c>
      <c r="G32" s="16" t="inlineStr">
        <is>
          <t>Redução de 20% em ICMS e ISS.</t>
        </is>
      </c>
    </row>
    <row r="33" ht="40" customHeight="1">
      <c r="B33" s="20" t="n">
        <v>2031</v>
      </c>
      <c r="C33" s="21" t="n">
        <v>0</v>
      </c>
      <c r="D33" s="21" t="n">
        <v>1</v>
      </c>
      <c r="E33" s="21" t="n">
        <v>0.7</v>
      </c>
      <c r="F33" s="21" t="n">
        <v>0.3</v>
      </c>
      <c r="G33" s="16" t="inlineStr">
        <is>
          <t>Redução de 30% em ICMS e ISS.</t>
        </is>
      </c>
    </row>
    <row r="34" ht="40" customHeight="1">
      <c r="B34" s="20" t="n">
        <v>2032</v>
      </c>
      <c r="C34" s="21" t="n">
        <v>0</v>
      </c>
      <c r="D34" s="21" t="n">
        <v>1</v>
      </c>
      <c r="E34" s="21" t="n">
        <v>0.6</v>
      </c>
      <c r="F34" s="21" t="n">
        <v>0.4</v>
      </c>
      <c r="G34" s="16" t="inlineStr">
        <is>
          <t>Redução de 40% em ICMS e ISS.</t>
        </is>
      </c>
    </row>
    <row r="35" ht="40" customHeight="1">
      <c r="B35" s="20" t="n">
        <v>2033</v>
      </c>
      <c r="C35" s="21" t="n">
        <v>0</v>
      </c>
      <c r="D35" s="21" t="n">
        <v>1</v>
      </c>
      <c r="E35" s="21" t="n">
        <v>0</v>
      </c>
      <c r="F35" s="21" t="n">
        <v>1</v>
      </c>
      <c r="G35" s="16" t="inlineStr">
        <is>
          <t>Extinção total do ICMS e do ISS. IBS e CBS plenamente vigentes.</t>
        </is>
      </c>
    </row>
    <row r="37" ht="30" customHeight="1">
      <c r="B37" s="16" t="inlineStr">
        <is>
          <t>Observação: os pesos acima refletem o desenho geral da transição previsto na EC 132/2023 e na LC 214/2025. Ajustes supervenientes por lei complementar/resolução devem ser refletidos diretamente nesta tabela.</t>
        </is>
      </c>
    </row>
  </sheetData>
  <mergeCells count="13">
    <mergeCell ref="G29:H29"/>
    <mergeCell ref="G35:H35"/>
    <mergeCell ref="G34:H34"/>
    <mergeCell ref="G30:H30"/>
    <mergeCell ref="G32:H32"/>
    <mergeCell ref="G33:H33"/>
    <mergeCell ref="B4:D4"/>
    <mergeCell ref="B26:D26"/>
    <mergeCell ref="G28:H28"/>
    <mergeCell ref="G31:H31"/>
    <mergeCell ref="B15:D15"/>
    <mergeCell ref="B37:H37"/>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25"/>
  <sheetViews>
    <sheetView showGridLines="0" workbookViewId="0">
      <selection activeCell="A1" sqref="A1"/>
    </sheetView>
  </sheetViews>
  <sheetFormatPr baseColWidth="8" defaultRowHeight="15" outlineLevelCol="0"/>
  <cols>
    <col width="3" customWidth="1" min="1" max="1"/>
    <col width="42" customWidth="1" min="2" max="2"/>
    <col width="22" customWidth="1" min="3" max="3"/>
    <col width="46" customWidth="1" min="4" max="4"/>
  </cols>
  <sheetData>
    <row r="2" ht="24" customHeight="1">
      <c r="B2" s="1" t="inlineStr">
        <is>
          <t>DADOS DE ENTRADA</t>
        </is>
      </c>
    </row>
    <row r="4" ht="20" customHeight="1">
      <c r="B4" s="6" t="inlineStr">
        <is>
          <t>1. IDENTIFICAÇÃO</t>
        </is>
      </c>
    </row>
    <row r="5" ht="18" customHeight="1">
      <c r="B5" s="9" t="inlineStr">
        <is>
          <t>Produto / Serviço</t>
        </is>
      </c>
      <c r="C5" s="4" t="inlineStr">
        <is>
          <t>[Descrição do produto ou serviço]</t>
        </is>
      </c>
    </row>
    <row r="6" ht="18" customHeight="1">
      <c r="B6" s="9" t="inlineStr">
        <is>
          <t>Tipo de Operação</t>
        </is>
      </c>
      <c r="C6" s="4" t="inlineStr">
        <is>
          <t>Mercadoria</t>
        </is>
      </c>
      <c r="D6" s="19" t="inlineStr">
        <is>
          <t>Mercadoria ou Serviço</t>
        </is>
      </c>
    </row>
    <row r="7" ht="18" customHeight="1">
      <c r="B7" s="9" t="inlineStr">
        <is>
          <t>Regime Tributário do Cliente</t>
        </is>
      </c>
      <c r="C7" s="4" t="inlineStr">
        <is>
          <t>Lucro Presumido</t>
        </is>
      </c>
      <c r="D7" s="19" t="inlineStr">
        <is>
          <t>Simples Nacional / Lucro Presumido / Lucro Real</t>
        </is>
      </c>
    </row>
    <row r="8" ht="18" customHeight="1">
      <c r="B8" s="9" t="inlineStr">
        <is>
          <t>UF</t>
        </is>
      </c>
      <c r="C8" s="4" t="inlineStr">
        <is>
          <t>SP</t>
        </is>
      </c>
      <c r="D8" s="19" t="inlineStr">
        <is>
          <t>Unidade da Federação</t>
        </is>
      </c>
    </row>
    <row r="9" ht="18" customHeight="1">
      <c r="B9" s="9" t="inlineStr">
        <is>
          <t>Município</t>
        </is>
      </c>
      <c r="C9" s="4" t="inlineStr">
        <is>
          <t>[Município]</t>
        </is>
      </c>
    </row>
    <row r="10" ht="18" customHeight="1">
      <c r="B10" s="9" t="inlineStr">
        <is>
          <t>Produto sujeito a IPI? (Sim/Não)</t>
        </is>
      </c>
      <c r="C10" s="4" t="inlineStr">
        <is>
          <t>Não</t>
        </is>
      </c>
    </row>
    <row r="11" ht="18" customHeight="1">
      <c r="B11" s="9" t="inlineStr">
        <is>
          <t>Produto sujeito a Imposto Seletivo? (Sim/Não)</t>
        </is>
      </c>
      <c r="C11" s="4" t="inlineStr">
        <is>
          <t>Não</t>
        </is>
      </c>
    </row>
    <row r="12" ht="18" customHeight="1">
      <c r="B12" s="9" t="inlineStr">
        <is>
          <t>Adquire resíduos sólidos de catadores incentivados p/ destinação final adequada? (Sim/Não)</t>
        </is>
      </c>
      <c r="C12" s="4" t="inlineStr">
        <is>
          <t>Não</t>
        </is>
      </c>
      <c r="D12" s="19" t="inlineStr">
        <is>
          <t>Crédito presumido do Art. 170, LC 214/2025 (setor de reciclagem/sucata)</t>
        </is>
      </c>
    </row>
    <row r="14" ht="20" customHeight="1">
      <c r="B14" s="6" t="inlineStr">
        <is>
          <t>2. CUSTOS, DESPESAS E MARGEM</t>
        </is>
      </c>
    </row>
    <row r="15" ht="18" customHeight="1">
      <c r="B15" s="9" t="inlineStr">
        <is>
          <t>Custo de Aquisição/Produção Unitário (R$)</t>
        </is>
      </c>
      <c r="C15" s="22" t="n">
        <v>100</v>
      </c>
    </row>
    <row r="16" ht="26" customHeight="1">
      <c r="B16" s="9" t="inlineStr">
        <is>
          <t>Valor das Aquisições de Resíduos Sólidos de Catadores Incentivados (R$)</t>
        </is>
      </c>
      <c r="C16" s="22" t="n">
        <v>0</v>
      </c>
      <c r="D16" s="16" t="inlineStr">
        <is>
          <t>Preencher somente se o campo acima for 'Sim'. Base de cálculo do crédito presumido do Art. 170, LC 214/2025.</t>
        </is>
      </c>
    </row>
    <row r="17" ht="26" customHeight="1">
      <c r="B17" s="9" t="inlineStr">
        <is>
          <t>Insumos Sujeitos a Crédito Tributário (R$)</t>
        </is>
      </c>
      <c r="C17" s="22" t="n">
        <v>70</v>
      </c>
      <c r="D17" s="16" t="inlineStr">
        <is>
          <t>Parcela do custo acima referente a insumos com direito a crédito (compras de PJ, com nota fiscal).</t>
        </is>
      </c>
    </row>
    <row r="18" ht="26" customHeight="1">
      <c r="B18" s="9" t="inlineStr">
        <is>
          <t>% de Aproveitamento do Crédito</t>
        </is>
      </c>
      <c r="C18" s="21" t="n">
        <v>1</v>
      </c>
      <c r="D18" s="16" t="inlineStr">
        <is>
          <t>100% para Lucro Real e Reforma (não cumulativo pleno); 0% para Simples/Presumido no regime atual.</t>
        </is>
      </c>
    </row>
    <row r="19" ht="18" customHeight="1">
      <c r="B19" s="9" t="inlineStr">
        <is>
          <t>Despesas Variáveis (%) — comissões, frete, cartão etc.</t>
        </is>
      </c>
      <c r="C19" s="21" t="n">
        <v>0.05</v>
      </c>
    </row>
    <row r="20" ht="18" customHeight="1">
      <c r="B20" s="9" t="inlineStr">
        <is>
          <t>Despesas Fixas Rateadas (%)</t>
        </is>
      </c>
      <c r="C20" s="21" t="n">
        <v>0.1</v>
      </c>
    </row>
    <row r="21" ht="18" customHeight="1">
      <c r="B21" s="9" t="inlineStr">
        <is>
          <t>Margem de Lucro Desejada (%)</t>
        </is>
      </c>
      <c r="C21" s="21" t="n">
        <v>0.2</v>
      </c>
    </row>
    <row r="23" ht="20" customHeight="1">
      <c r="B23" s="6" t="inlineStr">
        <is>
          <t>3. RESUMO</t>
        </is>
      </c>
    </row>
    <row r="24">
      <c r="B24" s="3" t="inlineStr">
        <is>
          <t>Custo Total (base para formação de preço)</t>
        </is>
      </c>
      <c r="C24" s="23">
        <f>C15</f>
        <v/>
      </c>
    </row>
    <row r="25">
      <c r="B25" s="3" t="inlineStr">
        <is>
          <t>Soma Despesas Variáveis + Despesas Fixas + Margem</t>
        </is>
      </c>
      <c r="C25" s="24">
        <f>C19+C20+C21</f>
        <v/>
      </c>
    </row>
  </sheetData>
  <mergeCells count="4">
    <mergeCell ref="B23:D23"/>
    <mergeCell ref="B14:D14"/>
    <mergeCell ref="B2:D2"/>
    <mergeCell ref="B4:D4"/>
  </mergeCells>
  <dataValidations count="3">
    <dataValidation sqref="C6" showDropDown="0" showInputMessage="0" showErrorMessage="0" allowBlank="0" type="list">
      <formula1>"Mercadoria,Serviço"</formula1>
    </dataValidation>
    <dataValidation sqref="C7" showDropDown="0" showInputMessage="0" showErrorMessage="0" allowBlank="0" type="list">
      <formula1>"Simples Nacional,Lucro Presumido,Lucro Real"</formula1>
    </dataValidation>
    <dataValidation sqref="C10 C11 C12" showDropDown="0" showInputMessage="0" showErrorMessage="0" allowBlank="0" type="list">
      <formula1>"Sim,Não"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42" customWidth="1" min="2" max="2"/>
    <col width="16" customWidth="1" min="3" max="3"/>
    <col width="46" customWidth="1" min="4" max="4"/>
  </cols>
  <sheetData>
    <row r="2" ht="24" customHeight="1">
      <c r="B2" s="1" t="inlineStr">
        <is>
          <t>CÁLCULO — REGIME ATUAL (ANTES DA REFORMA)</t>
        </is>
      </c>
    </row>
    <row r="4">
      <c r="B4" s="3" t="inlineStr">
        <is>
          <t>Regime Tributário Selecionado:</t>
        </is>
      </c>
      <c r="C4" s="25">
        <f>'Dados de Entrada'!C7</f>
        <v/>
      </c>
    </row>
    <row r="5">
      <c r="B5" s="3" t="inlineStr">
        <is>
          <t>Tipo de Operação:</t>
        </is>
      </c>
      <c r="C5" s="25">
        <f>'Dados de Entrada'!C6</f>
        <v/>
      </c>
    </row>
    <row r="7" ht="20" customHeight="1">
      <c r="B7" s="6" t="inlineStr">
        <is>
          <t>A. SIMPLES NACIONAL</t>
        </is>
      </c>
    </row>
    <row r="8">
      <c r="B8" s="9" t="inlineStr">
        <is>
          <t>Alíquota Efetiva do DAS</t>
        </is>
      </c>
      <c r="C8" s="26">
        <f>Parâmetros!C13</f>
        <v/>
      </c>
    </row>
    <row r="9">
      <c r="B9" s="3" t="inlineStr">
        <is>
          <t>Carga Tributária (sem créditos)</t>
        </is>
      </c>
      <c r="C9" s="18">
        <f>C8</f>
        <v/>
      </c>
      <c r="D9" s="16" t="inlineStr">
        <is>
          <t>Regra geral: o Simples Nacional não gera créditos ao adquirente na sistemática atual.</t>
        </is>
      </c>
    </row>
    <row r="11" ht="20" customHeight="1">
      <c r="B11" s="6" t="inlineStr">
        <is>
          <t>B. LUCRO PRESUMIDO</t>
        </is>
      </c>
    </row>
    <row r="12">
      <c r="B12" s="9" t="inlineStr">
        <is>
          <t>PIS (cumulativo)</t>
        </is>
      </c>
      <c r="C12" s="26">
        <f>Parâmetros!C6</f>
        <v/>
      </c>
    </row>
    <row r="13">
      <c r="B13" s="9" t="inlineStr">
        <is>
          <t>COFINS (cumulativo)</t>
        </is>
      </c>
      <c r="C13" s="26">
        <f>Parâmetros!C8</f>
        <v/>
      </c>
    </row>
    <row r="14">
      <c r="B14" s="9" t="inlineStr">
        <is>
          <t>ICMS ou ISS (conforme tipo de operação)</t>
        </is>
      </c>
      <c r="C14" s="27">
        <f>IF('Dados de Entrada'!C6="Mercadoria",Parâmetros!C10,Parâmetros!C11)</f>
        <v/>
      </c>
    </row>
    <row r="15">
      <c r="B15" s="9" t="inlineStr">
        <is>
          <t>IPI (se aplicável)</t>
        </is>
      </c>
      <c r="C15" s="27">
        <f>IF('Dados de Entrada'!C10="Sim",Parâmetros!C12,0)</f>
        <v/>
      </c>
    </row>
    <row r="16">
      <c r="B16" s="3" t="inlineStr">
        <is>
          <t>Carga Tributária Total (sem créditos)</t>
        </is>
      </c>
      <c r="C16" s="18">
        <f>SUM(C12:C15)</f>
        <v/>
      </c>
      <c r="D16" s="16" t="inlineStr">
        <is>
          <t>PIS/COFINS cumulativos não geram crédito; ICMS pode gerar crédito físico (não considerado aqui por simplificação).</t>
        </is>
      </c>
    </row>
    <row r="18" ht="20" customHeight="1">
      <c r="B18" s="6" t="inlineStr">
        <is>
          <t>C. LUCRO REAL</t>
        </is>
      </c>
    </row>
    <row r="19">
      <c r="B19" s="9" t="inlineStr">
        <is>
          <t>PIS (não cumulativo)</t>
        </is>
      </c>
      <c r="C19" s="26">
        <f>Parâmetros!C7</f>
        <v/>
      </c>
    </row>
    <row r="20">
      <c r="B20" s="9" t="inlineStr">
        <is>
          <t>COFINS (não cumulativo)</t>
        </is>
      </c>
      <c r="C20" s="26">
        <f>Parâmetros!C9</f>
        <v/>
      </c>
    </row>
    <row r="21">
      <c r="B21" s="9" t="inlineStr">
        <is>
          <t>ICMS ou ISS (conforme tipo de operação)</t>
        </is>
      </c>
      <c r="C21" s="27">
        <f>IF('Dados de Entrada'!C6="Mercadoria",Parâmetros!C10,Parâmetros!C11)</f>
        <v/>
      </c>
    </row>
    <row r="22">
      <c r="B22" s="9" t="inlineStr">
        <is>
          <t>IPI (se aplicável)</t>
        </is>
      </c>
      <c r="C22" s="27">
        <f>IF('Dados de Entrada'!C10="Sim",Parâmetros!C12,0)</f>
        <v/>
      </c>
    </row>
    <row r="23">
      <c r="B23" s="3" t="inlineStr">
        <is>
          <t>Carga Tributária Nominal (débito, sem dedução de créditos)</t>
        </is>
      </c>
      <c r="C23" s="18">
        <f>SUM(C19:C22)</f>
        <v/>
      </c>
    </row>
    <row r="24" ht="30" customHeight="1">
      <c r="B24" s="9" t="inlineStr">
        <is>
          <t>Créditos Recuperáveis sobre Insumos (R$)</t>
        </is>
      </c>
      <c r="C24" s="28">
        <f>'Dados de Entrada'!C17*'Dados de Entrada'!C18*C23</f>
        <v/>
      </c>
      <c r="D24" s="16">
        <f> Insumos com direito a crédito × % aproveitamento × alíquota nominal (PIS+COFINS+ICMS/ISS+IPI). Reduz o custo na formação do preço (não a alíquota).</f>
        <v/>
      </c>
    </row>
    <row r="26" ht="20" customHeight="1">
      <c r="B26" s="6" t="inlineStr">
        <is>
          <t>D. REGIME SELECIONADO — RESUMO</t>
        </is>
      </c>
    </row>
    <row r="27">
      <c r="B27" s="3" t="inlineStr">
        <is>
          <t>Carga Tributária Efetiva do Regime Selecionado</t>
        </is>
      </c>
      <c r="C27" s="18">
        <f>IF(C5="Simples Nacional",C9,IF(C5="Lucro Presumido",C16,C23))</f>
        <v/>
      </c>
    </row>
    <row r="28">
      <c r="B28" s="3" t="inlineStr">
        <is>
          <t>Créditos Recuperáveis do Regime Selecionado (R$)</t>
        </is>
      </c>
      <c r="C28" s="23">
        <f>IF(C5="Lucro Real",C24,0)</f>
        <v/>
      </c>
    </row>
    <row r="29">
      <c r="B29" s="19" t="inlineStr">
        <is>
          <t xml:space="preserve">  Detalhamento — Carga Federal (PIS/COFINS/IPI → futura CBS)</t>
        </is>
      </c>
      <c r="C29" s="27">
        <f>IF(C5="Simples Nacional",0,IF(C5="Lucro Presumido",C12+C13+C15,C19+C20+C22))</f>
        <v/>
      </c>
    </row>
    <row r="30" ht="40" customHeight="1">
      <c r="B30" s="19" t="inlineStr">
        <is>
          <t xml:space="preserve">  Detalhamento — Carga Estadual/Municipal (ICMS/ISS → futuro IBS)</t>
        </is>
      </c>
      <c r="C30" s="27">
        <f>IF(C5="Simples Nacional",0,IF(C5="Lucro Presumido",C14,C21))</f>
        <v/>
      </c>
      <c r="D30" s="16" t="inlineStr">
        <is>
          <t>Usado na aba 'Cálculo Reforma 2027-2033' para aplicar os pesos de transição de cada esfera (federal x estadual/municipal) separadamente. Para o Simples Nacional, o DAS é preservado como guia unificada (ver Memória de Cálculo).</t>
        </is>
      </c>
    </row>
    <row r="32" ht="20" customHeight="1">
      <c r="B32" s="6" t="inlineStr">
        <is>
          <t>E. FORMAÇÃO DE PREÇO DE VENDA (MÉTODO DO DIVISOR — "POR DENTRO")</t>
        </is>
      </c>
    </row>
    <row r="33">
      <c r="B33" s="3" t="inlineStr">
        <is>
          <t>Custo Líquido de Créditos (R$)</t>
        </is>
      </c>
      <c r="C33" s="28">
        <f>'Dados de Entrada'!C15-C28</f>
        <v/>
      </c>
    </row>
    <row r="34">
      <c r="B34" s="3" t="inlineStr">
        <is>
          <t>Divisor = 1 − (Desp. Var. + Desp. Fixas + Margem + Carga Tributária)</t>
        </is>
      </c>
      <c r="C34" s="29">
        <f>1-('Dados de Entrada'!C19+'Dados de Entrada'!C20+'Dados de Entrada'!C21+C27)</f>
        <v/>
      </c>
    </row>
    <row r="35">
      <c r="B35" s="3" t="inlineStr">
        <is>
          <t>PREÇO DE VENDA NECESSÁRIO (R$)</t>
        </is>
      </c>
      <c r="C35" s="23">
        <f>C33/C34</f>
        <v/>
      </c>
    </row>
    <row r="36">
      <c r="B36" s="9" t="inlineStr">
        <is>
          <t>Valor dos Tributos embutidos no Preço (R$)</t>
        </is>
      </c>
      <c r="C36" s="28">
        <f>C35*C27</f>
        <v/>
      </c>
    </row>
    <row r="37">
      <c r="B37" s="9" t="inlineStr">
        <is>
          <t>Lucro Líquido Projetado (R$)</t>
        </is>
      </c>
      <c r="C37" s="28">
        <f>C35*'Dados de Entrada'!C21</f>
        <v/>
      </c>
    </row>
  </sheetData>
  <mergeCells count="6">
    <mergeCell ref="B11:D11"/>
    <mergeCell ref="B32:D32"/>
    <mergeCell ref="B26:D26"/>
    <mergeCell ref="B18:D18"/>
    <mergeCell ref="B7:D7"/>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J3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outlineLevelCol="0"/>
  <cols>
    <col width="3"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2" ht="24" customHeight="1">
      <c r="B2" s="1" t="inlineStr">
        <is>
          <t>CÁLCULO — TRANSIÇÃO DA REFORMA TRIBUTÁRIA (2026–2033)</t>
        </is>
      </c>
    </row>
    <row r="4">
      <c r="B4" s="3" t="inlineStr">
        <is>
          <t>Regime Tributário Selecionado:</t>
        </is>
      </c>
      <c r="C4" s="25">
        <f>'Dados de Entrada'!C7</f>
        <v/>
      </c>
      <c r="D4" s="30" t="n"/>
      <c r="E4" s="31" t="n"/>
    </row>
    <row r="6" ht="18" customHeight="1">
      <c r="B6" s="3" t="inlineStr">
        <is>
          <t>Ano</t>
        </is>
      </c>
      <c r="C6" s="32">
        <f>Parâmetros!B28</f>
        <v/>
      </c>
      <c r="D6" s="32">
        <f>Parâmetros!B29</f>
        <v/>
      </c>
      <c r="E6" s="32">
        <f>Parâmetros!B30</f>
        <v/>
      </c>
      <c r="F6" s="32">
        <f>Parâmetros!B31</f>
        <v/>
      </c>
      <c r="G6" s="32">
        <f>Parâmetros!B32</f>
        <v/>
      </c>
      <c r="H6" s="32">
        <f>Parâmetros!B33</f>
        <v/>
      </c>
      <c r="I6" s="32">
        <f>Parâmetros!B34</f>
        <v/>
      </c>
      <c r="J6" s="32">
        <f>Parâmetros!B35</f>
        <v/>
      </c>
    </row>
    <row r="7" ht="20" customHeight="1">
      <c r="B7" s="6" t="inlineStr">
        <is>
          <t>PESOS DE TRANSIÇÃO (Parâmetros)</t>
        </is>
      </c>
    </row>
    <row r="8">
      <c r="B8" s="33" t="inlineStr">
        <is>
          <t>% Peso Antigo — Federal (PIS/COFINS/IPI)</t>
        </is>
      </c>
      <c r="C8" s="34">
        <f>Parâmetros!C28</f>
        <v/>
      </c>
      <c r="D8" s="34">
        <f>Parâmetros!C29</f>
        <v/>
      </c>
      <c r="E8" s="34">
        <f>Parâmetros!C30</f>
        <v/>
      </c>
      <c r="F8" s="34">
        <f>Parâmetros!C31</f>
        <v/>
      </c>
      <c r="G8" s="34">
        <f>Parâmetros!C32</f>
        <v/>
      </c>
      <c r="H8" s="34">
        <f>Parâmetros!C33</f>
        <v/>
      </c>
      <c r="I8" s="34">
        <f>Parâmetros!C34</f>
        <v/>
      </c>
      <c r="J8" s="34">
        <f>Parâmetros!C35</f>
        <v/>
      </c>
    </row>
    <row r="9">
      <c r="B9" s="33" t="inlineStr">
        <is>
          <t>% Peso Novo — Federal (CBS)</t>
        </is>
      </c>
      <c r="C9" s="34">
        <f>Parâmetros!D28</f>
        <v/>
      </c>
      <c r="D9" s="34">
        <f>Parâmetros!D29</f>
        <v/>
      </c>
      <c r="E9" s="34">
        <f>Parâmetros!D30</f>
        <v/>
      </c>
      <c r="F9" s="34">
        <f>Parâmetros!D31</f>
        <v/>
      </c>
      <c r="G9" s="34">
        <f>Parâmetros!D32</f>
        <v/>
      </c>
      <c r="H9" s="34">
        <f>Parâmetros!D33</f>
        <v/>
      </c>
      <c r="I9" s="34">
        <f>Parâmetros!D34</f>
        <v/>
      </c>
      <c r="J9" s="34">
        <f>Parâmetros!D35</f>
        <v/>
      </c>
    </row>
    <row r="10">
      <c r="B10" s="33" t="inlineStr">
        <is>
          <t>% Peso Antigo — Estadual/Municipal (ICMS/ISS)</t>
        </is>
      </c>
      <c r="C10" s="34">
        <f>Parâmetros!E28</f>
        <v/>
      </c>
      <c r="D10" s="34">
        <f>Parâmetros!E29</f>
        <v/>
      </c>
      <c r="E10" s="34">
        <f>Parâmetros!E30</f>
        <v/>
      </c>
      <c r="F10" s="34">
        <f>Parâmetros!E31</f>
        <v/>
      </c>
      <c r="G10" s="34">
        <f>Parâmetros!E32</f>
        <v/>
      </c>
      <c r="H10" s="34">
        <f>Parâmetros!E33</f>
        <v/>
      </c>
      <c r="I10" s="34">
        <f>Parâmetros!E34</f>
        <v/>
      </c>
      <c r="J10" s="34">
        <f>Parâmetros!E35</f>
        <v/>
      </c>
    </row>
    <row r="11">
      <c r="B11" s="33" t="inlineStr">
        <is>
          <t>% Peso Novo — Estadual/Municipal (IBS)</t>
        </is>
      </c>
      <c r="C11" s="34">
        <f>Parâmetros!F28</f>
        <v/>
      </c>
      <c r="D11" s="34">
        <f>Parâmetros!F29</f>
        <v/>
      </c>
      <c r="E11" s="34">
        <f>Parâmetros!F30</f>
        <v/>
      </c>
      <c r="F11" s="34">
        <f>Parâmetros!F31</f>
        <v/>
      </c>
      <c r="G11" s="34">
        <f>Parâmetros!F32</f>
        <v/>
      </c>
      <c r="H11" s="34">
        <f>Parâmetros!F33</f>
        <v/>
      </c>
      <c r="I11" s="34">
        <f>Parâmetros!F34</f>
        <v/>
      </c>
      <c r="J11" s="34">
        <f>Parâmetros!F35</f>
        <v/>
      </c>
    </row>
    <row r="13" ht="20" customHeight="1">
      <c r="B13" s="6" t="inlineStr">
        <is>
          <t>CARGA TRIBUTÁRIA EFETIVA POR ANO</t>
        </is>
      </c>
    </row>
    <row r="14" ht="26" customHeight="1">
      <c r="B14" s="35" t="inlineStr">
        <is>
          <t>Carga Federal Efetiva (peso antigo × PIS/COFINS/IPI + peso novo × CBS)</t>
        </is>
      </c>
      <c r="C14" s="27">
        <f>C8*'Cálculo Regime Atual'!$C$29+C9*Parâmetros!$C$17</f>
        <v/>
      </c>
      <c r="D14" s="27">
        <f>D8*'Cálculo Regime Atual'!$C$29+D9*Parâmetros!$C$17</f>
        <v/>
      </c>
      <c r="E14" s="27">
        <f>E8*'Cálculo Regime Atual'!$C$29+E9*Parâmetros!$C$17</f>
        <v/>
      </c>
      <c r="F14" s="27">
        <f>F8*'Cálculo Regime Atual'!$C$29+F9*Parâmetros!$C$17</f>
        <v/>
      </c>
      <c r="G14" s="27">
        <f>G8*'Cálculo Regime Atual'!$C$29+G9*Parâmetros!$C$17</f>
        <v/>
      </c>
      <c r="H14" s="27">
        <f>H8*'Cálculo Regime Atual'!$C$29+H9*Parâmetros!$C$17</f>
        <v/>
      </c>
      <c r="I14" s="27">
        <f>I8*'Cálculo Regime Atual'!$C$29+I9*Parâmetros!$C$17</f>
        <v/>
      </c>
      <c r="J14" s="27">
        <f>J8*'Cálculo Regime Atual'!$C$29+J9*Parâmetros!$C$17</f>
        <v/>
      </c>
    </row>
    <row r="15" ht="26" customHeight="1">
      <c r="B15" s="35" t="inlineStr">
        <is>
          <t>Carga Estadual/Municipal Efetiva (peso antigo × ICMS/ISS + peso novo × IBS)</t>
        </is>
      </c>
      <c r="C15" s="27">
        <f>C10*'Cálculo Regime Atual'!$C$30+C11*Parâmetros!$C$20</f>
        <v/>
      </c>
      <c r="D15" s="27">
        <f>D10*'Cálculo Regime Atual'!$C$30+D11*Parâmetros!$C$20</f>
        <v/>
      </c>
      <c r="E15" s="27">
        <f>E10*'Cálculo Regime Atual'!$C$30+E11*Parâmetros!$C$20</f>
        <v/>
      </c>
      <c r="F15" s="27">
        <f>F10*'Cálculo Regime Atual'!$C$30+F11*Parâmetros!$C$20</f>
        <v/>
      </c>
      <c r="G15" s="27">
        <f>G10*'Cálculo Regime Atual'!$C$30+G11*Parâmetros!$C$20</f>
        <v/>
      </c>
      <c r="H15" s="27">
        <f>H10*'Cálculo Regime Atual'!$C$30+H11*Parâmetros!$C$20</f>
        <v/>
      </c>
      <c r="I15" s="27">
        <f>I10*'Cálculo Regime Atual'!$C$30+I11*Parâmetros!$C$20</f>
        <v/>
      </c>
      <c r="J15" s="27">
        <f>J10*'Cálculo Regime Atual'!$C$30+J11*Parâmetros!$C$20</f>
        <v/>
      </c>
    </row>
    <row r="16" ht="26" customHeight="1">
      <c r="B16" s="35" t="inlineStr">
        <is>
          <t>Imposto Seletivo — IS (se produto sujeito, a partir de 2027)</t>
        </is>
      </c>
      <c r="C16" s="27">
        <f>IF('Dados de Entrada'!$C$11="Sim",C9*Parâmetros!$C$22,0)</f>
        <v/>
      </c>
      <c r="D16" s="27">
        <f>IF('Dados de Entrada'!$C$11="Sim",D9*Parâmetros!$C$22,0)</f>
        <v/>
      </c>
      <c r="E16" s="27">
        <f>IF('Dados de Entrada'!$C$11="Sim",E9*Parâmetros!$C$22,0)</f>
        <v/>
      </c>
      <c r="F16" s="27">
        <f>IF('Dados de Entrada'!$C$11="Sim",F9*Parâmetros!$C$22,0)</f>
        <v/>
      </c>
      <c r="G16" s="27">
        <f>IF('Dados de Entrada'!$C$11="Sim",G9*Parâmetros!$C$22,0)</f>
        <v/>
      </c>
      <c r="H16" s="27">
        <f>IF('Dados de Entrada'!$C$11="Sim",H9*Parâmetros!$C$22,0)</f>
        <v/>
      </c>
      <c r="I16" s="27">
        <f>IF('Dados de Entrada'!$C$11="Sim",I9*Parâmetros!$C$22,0)</f>
        <v/>
      </c>
      <c r="J16" s="27">
        <f>IF('Dados de Entrada'!$C$11="Sim",J9*Parâmetros!$C$22,0)</f>
        <v/>
      </c>
    </row>
    <row r="17">
      <c r="B17" s="3" t="inlineStr">
        <is>
          <t>CARGA TRIBUTÁRIA TOTAL EFETIVA (ano)</t>
        </is>
      </c>
      <c r="C17" s="18">
        <f>IF('Dados de Entrada'!$C$7="Simples Nacional",Parâmetros!$C$13,C14+C15+C16)</f>
        <v/>
      </c>
      <c r="D17" s="18">
        <f>IF('Dados de Entrada'!$C$7="Simples Nacional",Parâmetros!$C$13,D14+D15+D16)</f>
        <v/>
      </c>
      <c r="E17" s="18">
        <f>IF('Dados de Entrada'!$C$7="Simples Nacional",Parâmetros!$C$13,E14+E15+E16)</f>
        <v/>
      </c>
      <c r="F17" s="18">
        <f>IF('Dados de Entrada'!$C$7="Simples Nacional",Parâmetros!$C$13,F14+F15+F16)</f>
        <v/>
      </c>
      <c r="G17" s="18">
        <f>IF('Dados de Entrada'!$C$7="Simples Nacional",Parâmetros!$C$13,G14+G15+G16)</f>
        <v/>
      </c>
      <c r="H17" s="18">
        <f>IF('Dados de Entrada'!$C$7="Simples Nacional",Parâmetros!$C$13,H14+H15+H16)</f>
        <v/>
      </c>
      <c r="I17" s="18">
        <f>IF('Dados de Entrada'!$C$7="Simples Nacional",Parâmetros!$C$13,I14+I15+I16)</f>
        <v/>
      </c>
      <c r="J17" s="18">
        <f>IF('Dados de Entrada'!$C$7="Simples Nacional",Parâmetros!$C$13,J14+J15+J16)</f>
        <v/>
      </c>
    </row>
    <row r="18" ht="30" customHeight="1">
      <c r="B18" s="36" t="inlineStr">
        <is>
          <t>Simples Nacional: mantém-se a guia única do DAS (regime não é extinto pela Reforma); a carga do optante padrão permanece pela alíquota efetiva do Simples em todo o período, salvo opção pelo regime regular de apuração do IBS/CBS para repasse de crédito (ver Memória de Cálculo).</t>
        </is>
      </c>
    </row>
    <row r="20" ht="20" customHeight="1">
      <c r="B20" s="6" t="inlineStr">
        <is>
          <t>CRÉDITO PRESUMIDO — RESÍDUOS SÓLIDOS (ART. 170, LC 214/2025)</t>
        </is>
      </c>
    </row>
    <row r="21" ht="26" customHeight="1">
      <c r="B21" s="35" t="inlineStr">
        <is>
          <t>Crédito Presumido CBS (7% fixo, a partir de 2027)</t>
        </is>
      </c>
      <c r="C21" s="37">
        <f>IF('Dados de Entrada'!$C$12="Sim",'Dados de Entrada'!$C$16*C9*Parâmetros!$C$23,0)</f>
        <v/>
      </c>
      <c r="D21" s="37">
        <f>IF('Dados de Entrada'!$C$12="Sim",'Dados de Entrada'!$C$16*D9*Parâmetros!$C$23,0)</f>
        <v/>
      </c>
      <c r="E21" s="37">
        <f>IF('Dados de Entrada'!$C$12="Sim",'Dados de Entrada'!$C$16*E9*Parâmetros!$C$23,0)</f>
        <v/>
      </c>
      <c r="F21" s="37">
        <f>IF('Dados de Entrada'!$C$12="Sim",'Dados de Entrada'!$C$16*F9*Parâmetros!$C$23,0)</f>
        <v/>
      </c>
      <c r="G21" s="37">
        <f>IF('Dados de Entrada'!$C$12="Sim",'Dados de Entrada'!$C$16*G9*Parâmetros!$C$23,0)</f>
        <v/>
      </c>
      <c r="H21" s="37">
        <f>IF('Dados de Entrada'!$C$12="Sim",'Dados de Entrada'!$C$16*H9*Parâmetros!$C$23,0)</f>
        <v/>
      </c>
      <c r="I21" s="37">
        <f>IF('Dados de Entrada'!$C$12="Sim",'Dados de Entrada'!$C$16*I9*Parâmetros!$C$23,0)</f>
        <v/>
      </c>
      <c r="J21" s="37">
        <f>IF('Dados de Entrada'!$C$12="Sim",'Dados de Entrada'!$C$16*J9*Parâmetros!$C$23,0)</f>
        <v/>
      </c>
    </row>
    <row r="22" ht="26" customHeight="1">
      <c r="B22" s="35" t="inlineStr">
        <is>
          <t>Crédito Presumido IBS (escalonado 1,3%→13%, 2029-2033)</t>
        </is>
      </c>
      <c r="C22" s="37">
        <f>IF('Dados de Entrada'!$C$12="Sim",'Dados de Entrada'!$C$16*C11*Parâmetros!$C$24,0)</f>
        <v/>
      </c>
      <c r="D22" s="37">
        <f>IF('Dados de Entrada'!$C$12="Sim",'Dados de Entrada'!$C$16*D11*Parâmetros!$C$24,0)</f>
        <v/>
      </c>
      <c r="E22" s="37">
        <f>IF('Dados de Entrada'!$C$12="Sim",'Dados de Entrada'!$C$16*E11*Parâmetros!$C$24,0)</f>
        <v/>
      </c>
      <c r="F22" s="37">
        <f>IF('Dados de Entrada'!$C$12="Sim",'Dados de Entrada'!$C$16*F11*Parâmetros!$C$24,0)</f>
        <v/>
      </c>
      <c r="G22" s="37">
        <f>IF('Dados de Entrada'!$C$12="Sim",'Dados de Entrada'!$C$16*G11*Parâmetros!$C$24,0)</f>
        <v/>
      </c>
      <c r="H22" s="37">
        <f>IF('Dados de Entrada'!$C$12="Sim",'Dados de Entrada'!$C$16*H11*Parâmetros!$C$24,0)</f>
        <v/>
      </c>
      <c r="I22" s="37">
        <f>IF('Dados de Entrada'!$C$12="Sim",'Dados de Entrada'!$C$16*I11*Parâmetros!$C$24,0)</f>
        <v/>
      </c>
      <c r="J22" s="37">
        <f>IF('Dados de Entrada'!$C$12="Sim",'Dados de Entrada'!$C$16*J11*Parâmetros!$C$24,0)</f>
        <v/>
      </c>
    </row>
    <row r="23">
      <c r="B23" s="3" t="inlineStr">
        <is>
          <t>Total Crédito Presumido Art. 170 (R$)</t>
        </is>
      </c>
      <c r="C23" s="38">
        <f>C21+C22</f>
        <v/>
      </c>
      <c r="D23" s="38">
        <f>D21+D22</f>
        <v/>
      </c>
      <c r="E23" s="38">
        <f>E21+E22</f>
        <v/>
      </c>
      <c r="F23" s="38">
        <f>F21+F22</f>
        <v/>
      </c>
      <c r="G23" s="38">
        <f>G21+G22</f>
        <v/>
      </c>
      <c r="H23" s="38">
        <f>H21+H22</f>
        <v/>
      </c>
      <c r="I23" s="38">
        <f>I21+I22</f>
        <v/>
      </c>
      <c r="J23" s="38">
        <f>J21+J22</f>
        <v/>
      </c>
    </row>
    <row r="25" ht="20" customHeight="1">
      <c r="B25" s="6" t="inlineStr">
        <is>
          <t>CRÉDITOS E FORMAÇÃO DE PREÇO</t>
        </is>
      </c>
    </row>
    <row r="26" ht="26" customHeight="1">
      <c r="B26" s="35" t="inlineStr">
        <is>
          <t>Créditos Recuperáveis Totais (Insumos + Art. 170) (R$)</t>
        </is>
      </c>
      <c r="C26" s="37">
        <f>IF('Dados de Entrada'!$C$7="Simples Nacional",0,'Dados de Entrada'!$C$17*'Dados de Entrada'!$C$18*C17)+C23</f>
        <v/>
      </c>
      <c r="D26" s="37">
        <f>IF('Dados de Entrada'!$C$7="Simples Nacional",0,'Dados de Entrada'!$C$17*'Dados de Entrada'!$C$18*D17)+D23</f>
        <v/>
      </c>
      <c r="E26" s="37">
        <f>IF('Dados de Entrada'!$C$7="Simples Nacional",0,'Dados de Entrada'!$C$17*'Dados de Entrada'!$C$18*E17)+E23</f>
        <v/>
      </c>
      <c r="F26" s="37">
        <f>IF('Dados de Entrada'!$C$7="Simples Nacional",0,'Dados de Entrada'!$C$17*'Dados de Entrada'!$C$18*F17)+F23</f>
        <v/>
      </c>
      <c r="G26" s="37">
        <f>IF('Dados de Entrada'!$C$7="Simples Nacional",0,'Dados de Entrada'!$C$17*'Dados de Entrada'!$C$18*G17)+G23</f>
        <v/>
      </c>
      <c r="H26" s="37">
        <f>IF('Dados de Entrada'!$C$7="Simples Nacional",0,'Dados de Entrada'!$C$17*'Dados de Entrada'!$C$18*H17)+H23</f>
        <v/>
      </c>
      <c r="I26" s="37">
        <f>IF('Dados de Entrada'!$C$7="Simples Nacional",0,'Dados de Entrada'!$C$17*'Dados de Entrada'!$C$18*I17)+I23</f>
        <v/>
      </c>
      <c r="J26" s="37">
        <f>IF('Dados de Entrada'!$C$7="Simples Nacional",0,'Dados de Entrada'!$C$17*'Dados de Entrada'!$C$18*J17)+J23</f>
        <v/>
      </c>
    </row>
    <row r="27">
      <c r="B27" s="33" t="inlineStr">
        <is>
          <t>Custo Líquido de Créditos (R$)</t>
        </is>
      </c>
      <c r="C27" s="37">
        <f>'Dados de Entrada'!$C$15-C26</f>
        <v/>
      </c>
      <c r="D27" s="37">
        <f>'Dados de Entrada'!$C$15-D26</f>
        <v/>
      </c>
      <c r="E27" s="37">
        <f>'Dados de Entrada'!$C$15-E26</f>
        <v/>
      </c>
      <c r="F27" s="37">
        <f>'Dados de Entrada'!$C$15-F26</f>
        <v/>
      </c>
      <c r="G27" s="37">
        <f>'Dados de Entrada'!$C$15-G26</f>
        <v/>
      </c>
      <c r="H27" s="37">
        <f>'Dados de Entrada'!$C$15-H26</f>
        <v/>
      </c>
      <c r="I27" s="37">
        <f>'Dados de Entrada'!$C$15-I26</f>
        <v/>
      </c>
      <c r="J27" s="37">
        <f>'Dados de Entrada'!$C$15-J26</f>
        <v/>
      </c>
    </row>
    <row r="28" ht="26" customHeight="1">
      <c r="B28" s="35" t="inlineStr">
        <is>
          <t>Divisor = 1 − (Desp.Var. + Desp.Fixas + Margem + Carga Total)</t>
        </is>
      </c>
      <c r="C28" s="29">
        <f>1-('Dados de Entrada'!$C$19+'Dados de Entrada'!$C$20+'Dados de Entrada'!$C$21+C17)</f>
        <v/>
      </c>
      <c r="D28" s="29">
        <f>1-('Dados de Entrada'!$C$19+'Dados de Entrada'!$C$20+'Dados de Entrada'!$C$21+D17)</f>
        <v/>
      </c>
      <c r="E28" s="29">
        <f>1-('Dados de Entrada'!$C$19+'Dados de Entrada'!$C$20+'Dados de Entrada'!$C$21+E17)</f>
        <v/>
      </c>
      <c r="F28" s="29">
        <f>1-('Dados de Entrada'!$C$19+'Dados de Entrada'!$C$20+'Dados de Entrada'!$C$21+F17)</f>
        <v/>
      </c>
      <c r="G28" s="29">
        <f>1-('Dados de Entrada'!$C$19+'Dados de Entrada'!$C$20+'Dados de Entrada'!$C$21+G17)</f>
        <v/>
      </c>
      <c r="H28" s="29">
        <f>1-('Dados de Entrada'!$C$19+'Dados de Entrada'!$C$20+'Dados de Entrada'!$C$21+H17)</f>
        <v/>
      </c>
      <c r="I28" s="29">
        <f>1-('Dados de Entrada'!$C$19+'Dados de Entrada'!$C$20+'Dados de Entrada'!$C$21+I17)</f>
        <v/>
      </c>
      <c r="J28" s="29">
        <f>1-('Dados de Entrada'!$C$19+'Dados de Entrada'!$C$20+'Dados de Entrada'!$C$21+J17)</f>
        <v/>
      </c>
    </row>
    <row r="29">
      <c r="B29" s="3" t="inlineStr">
        <is>
          <t>PREÇO DE VENDA NECESSÁRIO (R$)</t>
        </is>
      </c>
      <c r="C29" s="38">
        <f>C27/C28</f>
        <v/>
      </c>
      <c r="D29" s="38">
        <f>D27/D28</f>
        <v/>
      </c>
      <c r="E29" s="38">
        <f>E27/E28</f>
        <v/>
      </c>
      <c r="F29" s="38">
        <f>F27/F28</f>
        <v/>
      </c>
      <c r="G29" s="38">
        <f>G27/G28</f>
        <v/>
      </c>
      <c r="H29" s="38">
        <f>H27/H28</f>
        <v/>
      </c>
      <c r="I29" s="38">
        <f>I27/I28</f>
        <v/>
      </c>
      <c r="J29" s="38">
        <f>J27/J28</f>
        <v/>
      </c>
    </row>
    <row r="30">
      <c r="B30" s="33" t="inlineStr">
        <is>
          <t>Variação de Preço vs. Regime Atual (R$)</t>
        </is>
      </c>
      <c r="C30" s="37">
        <f>C29-'Cálculo Regime Atual'!$C$35</f>
        <v/>
      </c>
      <c r="D30" s="37">
        <f>D29-'Cálculo Regime Atual'!$C$35</f>
        <v/>
      </c>
      <c r="E30" s="37">
        <f>E29-'Cálculo Regime Atual'!$C$35</f>
        <v/>
      </c>
      <c r="F30" s="37">
        <f>F29-'Cálculo Regime Atual'!$C$35</f>
        <v/>
      </c>
      <c r="G30" s="37">
        <f>G29-'Cálculo Regime Atual'!$C$35</f>
        <v/>
      </c>
      <c r="H30" s="37">
        <f>H29-'Cálculo Regime Atual'!$C$35</f>
        <v/>
      </c>
      <c r="I30" s="37">
        <f>I29-'Cálculo Regime Atual'!$C$35</f>
        <v/>
      </c>
      <c r="J30" s="37">
        <f>J29-'Cálculo Regime Atual'!$C$35</f>
        <v/>
      </c>
    </row>
    <row r="31">
      <c r="B31" s="33" t="inlineStr">
        <is>
          <t>Variação de Preço vs. Regime Atual (%)</t>
        </is>
      </c>
      <c r="C31" s="39">
        <f>C29/'Cálculo Regime Atual'!$C$35-1</f>
        <v/>
      </c>
      <c r="D31" s="39">
        <f>D29/'Cálculo Regime Atual'!$C$35-1</f>
        <v/>
      </c>
      <c r="E31" s="39">
        <f>E29/'Cálculo Regime Atual'!$C$35-1</f>
        <v/>
      </c>
      <c r="F31" s="39">
        <f>F29/'Cálculo Regime Atual'!$C$35-1</f>
        <v/>
      </c>
      <c r="G31" s="39">
        <f>G29/'Cálculo Regime Atual'!$C$35-1</f>
        <v/>
      </c>
      <c r="H31" s="39">
        <f>H29/'Cálculo Regime Atual'!$C$35-1</f>
        <v/>
      </c>
      <c r="I31" s="39">
        <f>I29/'Cálculo Regime Atual'!$C$35-1</f>
        <v/>
      </c>
      <c r="J31" s="39">
        <f>J29/'Cálculo Regime Atual'!$C$35-1</f>
        <v/>
      </c>
    </row>
  </sheetData>
  <mergeCells count="7">
    <mergeCell ref="B7:J7"/>
    <mergeCell ref="B25:J25"/>
    <mergeCell ref="B20:J20"/>
    <mergeCell ref="C4:E4"/>
    <mergeCell ref="B18:J18"/>
    <mergeCell ref="B13:J13"/>
    <mergeCell ref="B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7"/>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outlineLevelCol="0"/>
  <cols>
    <col width="3" customWidth="1" min="1" max="1"/>
    <col width="12" customWidth="1" min="2" max="2"/>
    <col width="24" customWidth="1" min="3" max="3"/>
    <col width="22" customWidth="1" min="4" max="4"/>
    <col width="22" customWidth="1" min="5" max="5"/>
    <col width="24" customWidth="1" min="6" max="6"/>
  </cols>
  <sheetData>
    <row r="2" ht="24" customHeight="1">
      <c r="B2" s="1" t="inlineStr">
        <is>
          <t>COMPARATIVO CONSOLIDADO — 2026 A 2033</t>
        </is>
      </c>
    </row>
    <row r="4">
      <c r="B4" s="3" t="inlineStr">
        <is>
          <t>Produto/Serviço:</t>
        </is>
      </c>
      <c r="C4" s="25">
        <f>'Dados de Entrada'!C5</f>
        <v/>
      </c>
    </row>
    <row r="5">
      <c r="B5" s="3" t="inlineStr">
        <is>
          <t>Regime Tributário:</t>
        </is>
      </c>
      <c r="C5" s="25">
        <f>'Dados de Entrada'!C7</f>
        <v/>
      </c>
    </row>
    <row r="7" ht="30" customHeight="1">
      <c r="B7" s="14" t="inlineStr">
        <is>
          <t>Ano</t>
        </is>
      </c>
      <c r="C7" s="14" t="inlineStr">
        <is>
          <t>Carga Tributária
Efetiva</t>
        </is>
      </c>
      <c r="D7" s="14" t="inlineStr">
        <is>
          <t>Preço de Venda
Necessário (R$)</t>
        </is>
      </c>
      <c r="E7" s="14" t="inlineStr">
        <is>
          <t>Variação vs.
2026 (R$)</t>
        </is>
      </c>
      <c r="F7" s="14" t="inlineStr">
        <is>
          <t>Variação vs.
2026 (%)</t>
        </is>
      </c>
    </row>
    <row r="8">
      <c r="B8" s="40">
        <f>'Cálculo Reforma 2027-2033'!C6</f>
        <v/>
      </c>
      <c r="C8" s="27">
        <f>'Cálculo Reforma 2027-2033'!C17</f>
        <v/>
      </c>
      <c r="D8" s="28">
        <f>'Cálculo Reforma 2027-2033'!C29</f>
        <v/>
      </c>
      <c r="E8" s="28">
        <f>'Cálculo Reforma 2027-2033'!C29-'Cálculo Reforma 2027-2033'!$C$29</f>
        <v/>
      </c>
      <c r="F8" s="39">
        <f>'Cálculo Reforma 2027-2033'!C29/'Cálculo Reforma 2027-2033'!$C$29-1</f>
        <v/>
      </c>
    </row>
    <row r="9">
      <c r="B9" s="41">
        <f>'Cálculo Reforma 2027-2033'!D6</f>
        <v/>
      </c>
      <c r="C9" s="42">
        <f>'Cálculo Reforma 2027-2033'!D17</f>
        <v/>
      </c>
      <c r="D9" s="43">
        <f>'Cálculo Reforma 2027-2033'!D29</f>
        <v/>
      </c>
      <c r="E9" s="43">
        <f>'Cálculo Reforma 2027-2033'!D29-'Cálculo Reforma 2027-2033'!$C$29</f>
        <v/>
      </c>
      <c r="F9" s="44">
        <f>'Cálculo Reforma 2027-2033'!D29/'Cálculo Reforma 2027-2033'!$C$29-1</f>
        <v/>
      </c>
    </row>
    <row r="10">
      <c r="B10" s="40">
        <f>'Cálculo Reforma 2027-2033'!E6</f>
        <v/>
      </c>
      <c r="C10" s="27">
        <f>'Cálculo Reforma 2027-2033'!E17</f>
        <v/>
      </c>
      <c r="D10" s="28">
        <f>'Cálculo Reforma 2027-2033'!E29</f>
        <v/>
      </c>
      <c r="E10" s="28">
        <f>'Cálculo Reforma 2027-2033'!E29-'Cálculo Reforma 2027-2033'!$C$29</f>
        <v/>
      </c>
      <c r="F10" s="39">
        <f>'Cálculo Reforma 2027-2033'!E29/'Cálculo Reforma 2027-2033'!$C$29-1</f>
        <v/>
      </c>
    </row>
    <row r="11">
      <c r="B11" s="41">
        <f>'Cálculo Reforma 2027-2033'!F6</f>
        <v/>
      </c>
      <c r="C11" s="42">
        <f>'Cálculo Reforma 2027-2033'!F17</f>
        <v/>
      </c>
      <c r="D11" s="43">
        <f>'Cálculo Reforma 2027-2033'!F29</f>
        <v/>
      </c>
      <c r="E11" s="43">
        <f>'Cálculo Reforma 2027-2033'!F29-'Cálculo Reforma 2027-2033'!$C$29</f>
        <v/>
      </c>
      <c r="F11" s="44">
        <f>'Cálculo Reforma 2027-2033'!F29/'Cálculo Reforma 2027-2033'!$C$29-1</f>
        <v/>
      </c>
    </row>
    <row r="12">
      <c r="B12" s="40">
        <f>'Cálculo Reforma 2027-2033'!G6</f>
        <v/>
      </c>
      <c r="C12" s="27">
        <f>'Cálculo Reforma 2027-2033'!G17</f>
        <v/>
      </c>
      <c r="D12" s="28">
        <f>'Cálculo Reforma 2027-2033'!G29</f>
        <v/>
      </c>
      <c r="E12" s="28">
        <f>'Cálculo Reforma 2027-2033'!G29-'Cálculo Reforma 2027-2033'!$C$29</f>
        <v/>
      </c>
      <c r="F12" s="39">
        <f>'Cálculo Reforma 2027-2033'!G29/'Cálculo Reforma 2027-2033'!$C$29-1</f>
        <v/>
      </c>
    </row>
    <row r="13">
      <c r="B13" s="41">
        <f>'Cálculo Reforma 2027-2033'!H6</f>
        <v/>
      </c>
      <c r="C13" s="42">
        <f>'Cálculo Reforma 2027-2033'!H17</f>
        <v/>
      </c>
      <c r="D13" s="43">
        <f>'Cálculo Reforma 2027-2033'!H29</f>
        <v/>
      </c>
      <c r="E13" s="43">
        <f>'Cálculo Reforma 2027-2033'!H29-'Cálculo Reforma 2027-2033'!$C$29</f>
        <v/>
      </c>
      <c r="F13" s="44">
        <f>'Cálculo Reforma 2027-2033'!H29/'Cálculo Reforma 2027-2033'!$C$29-1</f>
        <v/>
      </c>
    </row>
    <row r="14">
      <c r="B14" s="40">
        <f>'Cálculo Reforma 2027-2033'!I6</f>
        <v/>
      </c>
      <c r="C14" s="27">
        <f>'Cálculo Reforma 2027-2033'!I17</f>
        <v/>
      </c>
      <c r="D14" s="28">
        <f>'Cálculo Reforma 2027-2033'!I29</f>
        <v/>
      </c>
      <c r="E14" s="28">
        <f>'Cálculo Reforma 2027-2033'!I29-'Cálculo Reforma 2027-2033'!$C$29</f>
        <v/>
      </c>
      <c r="F14" s="39">
        <f>'Cálculo Reforma 2027-2033'!I29/'Cálculo Reforma 2027-2033'!$C$29-1</f>
        <v/>
      </c>
    </row>
    <row r="15">
      <c r="B15" s="41">
        <f>'Cálculo Reforma 2027-2033'!J6</f>
        <v/>
      </c>
      <c r="C15" s="42">
        <f>'Cálculo Reforma 2027-2033'!J17</f>
        <v/>
      </c>
      <c r="D15" s="43">
        <f>'Cálculo Reforma 2027-2033'!J29</f>
        <v/>
      </c>
      <c r="E15" s="43">
        <f>'Cálculo Reforma 2027-2033'!J29-'Cálculo Reforma 2027-2033'!$C$29</f>
        <v/>
      </c>
      <c r="F15" s="44">
        <f>'Cálculo Reforma 2027-2033'!J29/'Cálculo Reforma 2027-2033'!$C$29-1</f>
        <v/>
      </c>
    </row>
    <row r="17" ht="30" customHeight="1">
      <c r="B17" s="16" t="inlineStr">
        <is>
          <t>Observação: a coluna 'Variação vs. 2026' usa como base o preço de venda calculado antes da Reforma (2026 = mesma carga tributária do regime atual, pois a transição só começa a produzir efeito líquido a partir de 2027/2029).</t>
        </is>
      </c>
    </row>
  </sheetData>
  <mergeCells count="2">
    <mergeCell ref="B2:F2"/>
    <mergeCell ref="B17:F17"/>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F5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46" customWidth="1" min="2" max="2"/>
    <col width="16" customWidth="1" min="3" max="3"/>
    <col width="16" customWidth="1" min="4" max="4"/>
    <col width="16" customWidth="1" min="5" max="5"/>
    <col width="46" customWidth="1" min="6" max="6"/>
  </cols>
  <sheetData>
    <row r="2" ht="24" customHeight="1">
      <c r="B2" s="1" t="inlineStr">
        <is>
          <t>SIMPLES NACIONAL — REGIME ÚNICO x REGIME HÍBRIDO (LC 214/2025)</t>
        </is>
      </c>
    </row>
    <row r="3" ht="26" customHeight="1">
      <c r="B3" s="16" t="inlineStr">
        <is>
          <t>Aplicável somente se o Regime Tributário em 'Dados de Entrada' for Simples Nacional. Ferramenta de apoio à decisão — não substitui parecer individualizado.</t>
        </is>
      </c>
    </row>
    <row r="5" ht="20" customHeight="1">
      <c r="B5" s="6" t="inlineStr">
        <is>
          <t>1. DADOS DO CLIENTE (SIMPLES NACIONAL)</t>
        </is>
      </c>
    </row>
    <row r="6" ht="18" customHeight="1">
      <c r="B6" s="9" t="inlineStr">
        <is>
          <t>Anexo do Simples Nacional</t>
        </is>
      </c>
      <c r="C6" s="4" t="inlineStr">
        <is>
          <t>I</t>
        </is>
      </c>
      <c r="D6" s="16" t="inlineStr">
        <is>
          <t>I=Comércio, II=Indústria, III=Serviços (Fator R), IV=Serviços (CPP à parte), V=Serviços (Fator R&lt;28%)</t>
        </is>
      </c>
    </row>
    <row r="7" ht="18" customHeight="1">
      <c r="B7" s="9" t="inlineStr">
        <is>
          <t>RBT12 — Receita Bruta Acumulada 12 Meses (R$)</t>
        </is>
      </c>
      <c r="C7" s="22" t="n">
        <v>1200000</v>
      </c>
    </row>
    <row r="8" ht="26" customHeight="1">
      <c r="B8" s="9" t="inlineStr">
        <is>
          <t>Alíquota Nominal da Faixa (%)</t>
        </is>
      </c>
      <c r="C8" s="21" t="n">
        <v>0.19</v>
      </c>
      <c r="D8" s="16" t="inlineStr">
        <is>
          <t>Consultar tabela oficial da faixa/Anexo aplicável (LC 123/2006, Anexos I a V, Portal do Simples Nacional).</t>
        </is>
      </c>
    </row>
    <row r="9" ht="18" customHeight="1">
      <c r="B9" s="9" t="inlineStr">
        <is>
          <t>Parcela a Deduzir da Faixa (R$)</t>
        </is>
      </c>
      <c r="C9" s="22" t="n">
        <v>22500</v>
      </c>
    </row>
    <row r="10" ht="34" customHeight="1">
      <c r="B10" s="9" t="inlineStr">
        <is>
          <t>% do Anexo correspondente a ICMS/ISS/PIS/COFINS</t>
        </is>
      </c>
      <c r="C10" s="45" t="n">
        <v>0.4</v>
      </c>
      <c r="D10" s="16" t="inlineStr">
        <is>
          <t>ESTIMATIVA — usar a tabela de repartição percentual do Anexo/faixa aplicável (LC 123/2006). É a parcela da alíquota efetiva que hoje corresponde aos tributos substituídos por IBS/CBS.</t>
        </is>
      </c>
    </row>
    <row r="12" ht="20" customHeight="1">
      <c r="B12" s="6" t="inlineStr">
        <is>
          <t>2. REGIME ÚNICO (HOJE) — ALÍQUOTA EFETIVA E CRÉDITO GERADO</t>
        </is>
      </c>
    </row>
    <row r="13">
      <c r="B13" s="3" t="inlineStr">
        <is>
          <t>Alíquota Efetiva = (RBT12×AlíqNominal − ParcDeduzir) / RBT12</t>
        </is>
      </c>
      <c r="C13" s="18">
        <f>(C7*C8-C9)/C7</f>
        <v/>
      </c>
    </row>
    <row r="14">
      <c r="B14" s="3" t="inlineStr">
        <is>
          <t>Carga Tributária Anual — Regime Único (R$)</t>
        </is>
      </c>
      <c r="C14" s="23">
        <f>C7*C13</f>
        <v/>
      </c>
    </row>
    <row r="15">
      <c r="B15" s="9" t="inlineStr">
        <is>
          <t>Componente IBS/CBS Embutido na Alíquota Efetiva (%)</t>
        </is>
      </c>
      <c r="C15" s="27">
        <f>C13*C10</f>
        <v/>
      </c>
    </row>
    <row r="16">
      <c r="B16" s="9" t="inlineStr">
        <is>
          <t>Componente IBS/CBS Embutido — valor anual (R$)</t>
        </is>
      </c>
      <c r="C16" s="28">
        <f>C7*C15</f>
        <v/>
      </c>
      <c r="D16" s="16" t="inlineStr">
        <is>
          <t>É o crédito que o cliente PJ comprador já consegue aproveitar HOJE, mesmo no Regime Único.</t>
        </is>
      </c>
    </row>
    <row r="18" ht="20" customHeight="1">
      <c r="B18" s="6" t="inlineStr">
        <is>
          <t>3. PERFIL DA CARTEIRA E ALÍQUOTA DE REFERÊNCIA DA REFORMA</t>
        </is>
      </c>
    </row>
    <row r="19" ht="26" customHeight="1">
      <c r="B19" s="9" t="inlineStr">
        <is>
          <t>% de Vendas para PJ do Lucro Real/Presumido (B2B com crédito)</t>
        </is>
      </c>
      <c r="C19" s="21" t="n">
        <v>0.5</v>
      </c>
      <c r="D19" s="16" t="inlineStr">
        <is>
          <t>Vendas para PJ também optante do Simples não geram ganho de crédito no Híbrido — não incluir nesse percentual.</t>
        </is>
      </c>
    </row>
    <row r="20" ht="26" customHeight="1">
      <c r="B20" s="9" t="inlineStr">
        <is>
          <t>Redução Setorial de Alíquota (0% / 30% / 60% / 100%)</t>
        </is>
      </c>
      <c r="C20" s="21" t="n">
        <v>0</v>
      </c>
      <c r="D20" s="16" t="inlineStr">
        <is>
          <t>Preencher se o setor tiver redução prevista na LC 214/2025 (ex.: profissionais de conselho, saúde, educação, cesta básica etc.).</t>
        </is>
      </c>
    </row>
    <row r="21">
      <c r="B21" s="3" t="inlineStr">
        <is>
          <t>Alíquota de Referência Cheia (IVA Dual — CBS+IBS)</t>
        </is>
      </c>
      <c r="C21" s="26">
        <f>Parâmetros!C21</f>
        <v/>
      </c>
      <c r="D21" s="16" t="inlineStr">
        <is>
          <t>ESTIMATIVA — não definitiva; depende de Resolução do Senado (LC 214/2025, art. 14).</t>
        </is>
      </c>
    </row>
    <row r="22">
      <c r="B22" s="3" t="inlineStr">
        <is>
          <t>Alíquota de Referência Aplicável (após redução setorial)</t>
        </is>
      </c>
      <c r="C22" s="18">
        <f>C21*(1-C20)</f>
        <v/>
      </c>
    </row>
    <row r="24" ht="20" customHeight="1">
      <c r="B24" s="6" t="inlineStr">
        <is>
          <t>4. IMPACTO NO COMPRADOR — GANHO DE COMPETITIVIDADE (HÍBRIDO)</t>
        </is>
      </c>
    </row>
    <row r="25">
      <c r="B25" s="9" t="inlineStr">
        <is>
          <t>Receita Anual de Vendas B2B (R$)</t>
        </is>
      </c>
      <c r="C25" s="28">
        <f>C7*C19</f>
        <v/>
      </c>
    </row>
    <row r="26">
      <c r="B26" s="3" t="inlineStr">
        <is>
          <t>Crédito Pleno Gerado no Híbrido (R$/ano)</t>
        </is>
      </c>
      <c r="C26" s="28">
        <f>C25*C22</f>
        <v/>
      </c>
    </row>
    <row r="27">
      <c r="B27" s="9" t="inlineStr">
        <is>
          <t>Crédito Hoje sobre a mesma Receita B2B — Regime Único (R$/ano)</t>
        </is>
      </c>
      <c r="C27" s="28">
        <f>C25*C15</f>
        <v/>
      </c>
    </row>
    <row r="28">
      <c r="B28" s="3" t="inlineStr">
        <is>
          <t>GANHO DE CRÉDITO AO COMPRADOR (R$/ano)</t>
        </is>
      </c>
      <c r="C28" s="23">
        <f>C26-C27</f>
        <v/>
      </c>
    </row>
    <row r="29">
      <c r="B29" s="9" t="inlineStr">
        <is>
          <t>Ganho de Crédito sobre a Receita B2B (%)</t>
        </is>
      </c>
      <c r="C29" s="39">
        <f>IF(C25=0,0,C28/C25)</f>
        <v/>
      </c>
    </row>
    <row r="31" ht="20" customHeight="1">
      <c r="B31" s="6" t="inlineStr">
        <is>
          <t>5. IMPACTO NO PRÓPRIO OPTANTE — CARGA TRIBUTÁRIA DIRETA (HÍBRIDO)</t>
        </is>
      </c>
    </row>
    <row r="32">
      <c r="B32" s="9" t="inlineStr">
        <is>
          <t>Compras/Insumos Sujeitos a Crédito no Híbrido (R$/ano)</t>
        </is>
      </c>
      <c r="C32" s="22" t="n">
        <v>500000</v>
      </c>
    </row>
    <row r="33">
      <c r="B33" s="9" t="inlineStr">
        <is>
          <t>% de Aproveitamento do Crédito sobre as Compras</t>
        </is>
      </c>
      <c r="C33" s="21" t="n">
        <v>1</v>
      </c>
    </row>
    <row r="34">
      <c r="B34" s="9" t="inlineStr">
        <is>
          <t>Créditos Tomados nas Compras (R$/ano)</t>
        </is>
      </c>
      <c r="C34" s="28">
        <f>C32*C33*C22</f>
        <v/>
      </c>
    </row>
    <row r="35">
      <c r="B35" s="9" t="inlineStr">
        <is>
          <t>Débito Total de IBS/CBS sobre a Receita Total (R$/ano)</t>
        </is>
      </c>
      <c r="C35" s="28">
        <f>C7*C22</f>
        <v/>
      </c>
    </row>
    <row r="36">
      <c r="B36" s="9" t="inlineStr">
        <is>
          <t>Carga Líquida de IBS/CBS no Híbrido (Débito − Créditos) (R$/ano)</t>
        </is>
      </c>
      <c r="C36" s="28">
        <f>C35-C34</f>
        <v/>
      </c>
    </row>
    <row r="37">
      <c r="B37" s="9" t="inlineStr">
        <is>
          <t>Alíquota Efetiva do DAS sem o Componente IBS/CBS (%)</t>
        </is>
      </c>
      <c r="C37" s="27">
        <f>C13-C15</f>
        <v/>
      </c>
    </row>
    <row r="38">
      <c r="B38" s="9" t="inlineStr">
        <is>
          <t>Demais Tributos do DAS no Híbrido — IRPJ/CSLL/CPP/etc. (R$/ano)</t>
        </is>
      </c>
      <c r="C38" s="28">
        <f>C7*C37</f>
        <v/>
      </c>
    </row>
    <row r="39">
      <c r="B39" s="3" t="inlineStr">
        <is>
          <t>CARGA TRIBUTÁRIA TOTAL — REGIME HÍBRIDO (R$/ano)</t>
        </is>
      </c>
      <c r="C39" s="23">
        <f>C38+C36</f>
        <v/>
      </c>
    </row>
    <row r="40">
      <c r="B40" s="3" t="inlineStr">
        <is>
          <t>Impacto Líquido para o Optante — Híbrido vs. Único (R$/ano)</t>
        </is>
      </c>
      <c r="C40" s="23">
        <f>C39-C14</f>
        <v/>
      </c>
    </row>
    <row r="41" ht="30" customHeight="1">
      <c r="B41" s="9" t="inlineStr">
        <is>
          <t>Impacto Líquido para o Optante (%)</t>
        </is>
      </c>
      <c r="C41" s="39">
        <f>IF(C14=0,0,C40/C14)</f>
        <v/>
      </c>
      <c r="D41" s="16" t="inlineStr">
        <is>
          <t>Positivo = carga própria aumenta no Híbrido; negativo = carga própria diminui. Custo de compliance adicional (sistemas, EFD própria, split payment) não está quantificado aqui — avaliar qualitativamente.</t>
        </is>
      </c>
    </row>
    <row r="43" ht="20" customHeight="1">
      <c r="B43" s="6" t="inlineStr">
        <is>
          <t>6. QUADRO COMPARATIVO — CENÁRIOS DE MIX DE CARTEIRA</t>
        </is>
      </c>
    </row>
    <row r="44" ht="30" customHeight="1">
      <c r="B44" s="14" t="inlineStr">
        <is>
          <t>Cenário</t>
        </is>
      </c>
      <c r="C44" s="14" t="inlineStr">
        <is>
          <t>% B2B</t>
        </is>
      </c>
      <c r="D44" s="14" t="inlineStr">
        <is>
          <t>Ganho de Crédito
ao Comprador (R$)</t>
        </is>
      </c>
      <c r="E44" s="14" t="inlineStr">
        <is>
          <t>Impacto Líquido
no Optante (R$)</t>
        </is>
      </c>
      <c r="F44" s="14" t="inlineStr">
        <is>
          <t>Leitura</t>
        </is>
      </c>
    </row>
    <row r="45" ht="18" customHeight="1">
      <c r="B45" s="9" t="inlineStr">
        <is>
          <t>B2C Majoritário</t>
        </is>
      </c>
      <c r="C45" s="21" t="n">
        <v>0.2</v>
      </c>
      <c r="D45" s="28">
        <f>(C7*C45)*C22-(C7*C45)*C15</f>
        <v/>
      </c>
      <c r="E45" s="28">
        <f>C40</f>
        <v/>
      </c>
      <c r="F45" s="46">
        <f>IF(D45&gt;0,"Híbrido melhora crédito do comprador","Sem ganho relevante de crédito")</f>
        <v/>
      </c>
    </row>
    <row r="46" ht="18" customHeight="1">
      <c r="B46" s="9" t="inlineStr">
        <is>
          <t>Carteira Mista</t>
        </is>
      </c>
      <c r="C46" s="21" t="n">
        <v>0.5</v>
      </c>
      <c r="D46" s="28">
        <f>(C7*C46)*C22-(C7*C46)*C15</f>
        <v/>
      </c>
      <c r="E46" s="28">
        <f>C40</f>
        <v/>
      </c>
      <c r="F46" s="46">
        <f>IF(D46&gt;0,"Híbrido melhora crédito do comprador","Sem ganho relevante de crédito")</f>
        <v/>
      </c>
    </row>
    <row r="47" ht="18" customHeight="1">
      <c r="B47" s="9" t="inlineStr">
        <is>
          <t>B2B Majoritário</t>
        </is>
      </c>
      <c r="C47" s="21" t="n">
        <v>0.8</v>
      </c>
      <c r="D47" s="28">
        <f>(C7*C47)*C22-(C7*C47)*C15</f>
        <v/>
      </c>
      <c r="E47" s="28">
        <f>C40</f>
        <v/>
      </c>
      <c r="F47" s="46">
        <f>IF(D47&gt;0,"Híbrido melhora crédito do comprador","Sem ganho relevante de crédito")</f>
        <v/>
      </c>
    </row>
    <row r="49" ht="26" customHeight="1">
      <c r="B49" s="16" t="inlineStr">
        <is>
          <t>Nota: a coluna 'Impacto Líquido no Optante' usa os mesmos insumos/créditos informados na Seção 5 (não varia por cenário) — refina-se manualmente se as compras também mudarem de composição.</t>
        </is>
      </c>
    </row>
    <row r="51" ht="20" customHeight="1">
      <c r="B51" s="6" t="inlineStr">
        <is>
          <t>7. RESTRIÇÕES E ALERTAS</t>
        </is>
      </c>
    </row>
    <row r="52" ht="26" customHeight="1">
      <c r="B52" s="9" t="inlineStr">
        <is>
          <t>Optante é MEI? (Sim/Não)</t>
        </is>
      </c>
      <c r="C52" s="4" t="inlineStr">
        <is>
          <t>Não</t>
        </is>
      </c>
      <c r="D52" s="46">
        <f>IF(C52="Sim","ALERTA: MEI não tem acesso ao Regime Híbrido (Anexo VII, LC 123/2006) — nunca gera crédito pleno a clientes PJ.","")</f>
        <v/>
      </c>
      <c r="E52" s="30" t="n"/>
      <c r="F52" s="31" t="n"/>
    </row>
    <row r="53" ht="30" customHeight="1">
      <c r="B53" s="7" t="inlineStr">
        <is>
          <t>Pretende pedir ressarcimento de crédito sobre bens de capital em 24 meses? (Sim/Não)</t>
        </is>
      </c>
      <c r="C53" s="4" t="inlineStr">
        <is>
          <t>Não</t>
        </is>
      </c>
      <c r="D53" s="46">
        <f>IF(C53="Sim","ALERTA: pedido de ressarcimento de crédito sobre bens de capital trava o retorno ao Regime Único por 2 anos consecutivos.","")</f>
        <v/>
      </c>
      <c r="E53" s="30" t="n"/>
      <c r="F53" s="31" t="n"/>
    </row>
    <row r="54" ht="30" customHeight="1">
      <c r="B54" s="16" t="inlineStr">
        <is>
          <t>Janela de opção: setembro/2026 (vigência 1º sem/2027); março/2027 (vigência 2º sem/2027); a partir daí, opção semestral. Silêncio do contribuinte = permanece no Regime Único. CNPJs abertos entre out/2026 e dez/2026 optam no próprio ato de inscrição.</t>
        </is>
      </c>
    </row>
    <row r="56" ht="20" customHeight="1">
      <c r="B56" s="6" t="inlineStr">
        <is>
          <t>8. LEITURA INDICATIVA (NÃO SUBSTITUI PARECER INDIVIDUALIZADO)</t>
        </is>
      </c>
    </row>
    <row r="57" ht="24" customHeight="1">
      <c r="B57" s="47">
        <f>IF(C52="Sim","MEI: Regime Híbrido não é aplicável.",IF(AND(C19&gt;=0.5,C40&lt;=0),"Carteira majoritariamente B2B e impacto próprio neutro/favorável — avaliar migração para o Híbrido, considerando custo de compliance.",IF(C19&lt;0.3,"Carteira majoritariamente B2C — ganho de crédito tende a ser pouco relevante; Regime Único provavelmente mais vantajoso.","Cenário intermediário — avaliar caso a caso o custo de compliance frente ao ganho de crédito e ao impacto na carga própria.")))</f>
        <v/>
      </c>
      <c r="C57" s="30" t="n"/>
      <c r="D57" s="30" t="n"/>
      <c r="E57" s="30" t="n"/>
      <c r="F57" s="31" t="n"/>
    </row>
  </sheetData>
  <mergeCells count="23">
    <mergeCell ref="B54:F54"/>
    <mergeCell ref="D41:F41"/>
    <mergeCell ref="B3:F3"/>
    <mergeCell ref="B31:F31"/>
    <mergeCell ref="D53:F53"/>
    <mergeCell ref="B18:F18"/>
    <mergeCell ref="D16:F16"/>
    <mergeCell ref="B56:F56"/>
    <mergeCell ref="B43:F43"/>
    <mergeCell ref="B12:F12"/>
    <mergeCell ref="B2:F2"/>
    <mergeCell ref="D8:F8"/>
    <mergeCell ref="B57:F57"/>
    <mergeCell ref="D20:F20"/>
    <mergeCell ref="B49:F49"/>
    <mergeCell ref="D10:F10"/>
    <mergeCell ref="D19:F19"/>
    <mergeCell ref="B24:F24"/>
    <mergeCell ref="B5:F5"/>
    <mergeCell ref="B51:F51"/>
    <mergeCell ref="D52:F52"/>
    <mergeCell ref="D21:F21"/>
    <mergeCell ref="D6:F6"/>
  </mergeCells>
  <dataValidations count="2">
    <dataValidation sqref="C6" showDropDown="0" showInputMessage="0" showErrorMessage="0" allowBlank="0" type="list">
      <formula1>"I,II,III,IV,V"</formula1>
    </dataValidation>
    <dataValidation sqref="C52 C53" showDropDown="0" showInputMessage="0" showErrorMessage="0" allowBlank="0" type="list">
      <formula1>"Sim,Não"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50"/>
  <sheetViews>
    <sheetView showGridLines="0" workbookViewId="0">
      <selection activeCell="A1" sqref="A1"/>
    </sheetView>
  </sheetViews>
  <sheetFormatPr baseColWidth="8" defaultRowHeight="15"/>
  <cols>
    <col width="3" customWidth="1" min="1" max="1"/>
    <col width="110" customWidth="1" min="2" max="2"/>
  </cols>
  <sheetData>
    <row r="2" ht="24" customHeight="1">
      <c r="B2" s="1" t="inlineStr">
        <is>
          <t>MEMÓRIA DE CÁLCULO, PREMISSAS E FONTES</t>
        </is>
      </c>
    </row>
    <row r="4">
      <c r="B4" s="48" t="inlineStr">
        <is>
          <t>1. BASE LEGAL</t>
        </is>
      </c>
    </row>
    <row r="5" ht="30" customHeight="1">
      <c r="B5" s="7" t="inlineStr">
        <is>
          <t>• Emenda Constitucional nº 132, de 20/12/2023 — institui a Reforma Tributária sobre o consumo (arts. 156-A, 195, V, e ADCT arts. 125 a 137).</t>
        </is>
      </c>
    </row>
    <row r="6" ht="45" customHeight="1">
      <c r="B6" s="7" t="inlineStr">
        <is>
          <t>• Lei Complementar nº 214, de 16/01/2025 — regulamenta a CBS, o IBS e o Imposto Seletivo, define regras de não cumulatividade, créditos, cronograma de transição, regimes específicos (Simples Nacional, imunes, cashback) e o Comitê Gestor do IBS.</t>
        </is>
      </c>
    </row>
    <row r="7" ht="45" customHeight="1">
      <c r="B7" s="7" t="inlineStr">
        <is>
          <t>• Legislação atual: Leis nº 9.715/1998, 9.718/1998 (PIS/COFINS cumulativos), 10.637/2002 e 10.833/2003 (PIS/COFINS não cumulativos), Lei Complementar nº 87/1996 (ICMS), Lei Complementar nº 116/2003 (ISS), Lei Complementar nº 123/2006 (Simples Nacional), RIPI/2010 (IPI).</t>
        </is>
      </c>
    </row>
    <row r="8" ht="45" customHeight="1">
      <c r="B8" s="7" t="inlineStr">
        <is>
          <t>• LC 214/2025, art. 41, §3º — permite ao optante do Simples Nacional escolher, semestralmente, entre recolher IBS/CBS dentro do DAS (Regime Único) ou por fora, pelas regras gerais do regime não cumulativo (Regime Híbrido). Resolução CGSN nº 183/2025 operacionaliza a opção no âmbito do Simples.</t>
        </is>
      </c>
    </row>
    <row r="10">
      <c r="B10" s="48" t="inlineStr">
        <is>
          <t>2. METODOLOGIA APLICADA</t>
        </is>
      </c>
    </row>
    <row r="11" ht="15" customHeight="1">
      <c r="B11" s="7" t="inlineStr">
        <is>
          <t>1) Identificação da atividade e do tipo de operação (mercadoria/serviço) — aba 'Dados de Entrada'.</t>
        </is>
      </c>
    </row>
    <row r="12" ht="15" customHeight="1">
      <c r="B12" s="7" t="inlineStr">
        <is>
          <t>2) Identificação do regime tributário do cliente (Simples Nacional, Lucro Presumido ou Lucro Real).</t>
        </is>
      </c>
    </row>
    <row r="13" ht="30" customHeight="1">
      <c r="B13" s="7" t="inlineStr">
        <is>
          <t>3) Identificação da tributação aplicável em cada esfera (federal: PIS/COFINS/IPI; estadual/municipal: ICMS/ISS) — aba 'Parâmetros'.</t>
        </is>
      </c>
    </row>
    <row r="14" ht="30" customHeight="1">
      <c r="B14" s="7" t="inlineStr">
        <is>
          <t>4) Cálculo dos tributos nominais e da carga tributária efetiva do regime atual — aba 'Cálculo Regime Atual'.</t>
        </is>
      </c>
    </row>
    <row r="15" ht="30" customHeight="1">
      <c r="B15" s="7" t="inlineStr">
        <is>
          <t>5) Cálculo dos créditos recuperáveis sobre insumos (não cumulatividade) — reduzem o CUSTO na formação de preço, não a alíquota de débito.</t>
        </is>
      </c>
    </row>
    <row r="16" ht="30" customHeight="1">
      <c r="B16" s="7" t="inlineStr">
        <is>
          <t>6) Aplicação do cronograma de transição da Reforma (pesos ano a ano definidos na EC 132/2023 e LC 214/2025) para obter a carga tributária efetiva de 2026 a 2033 — aba 'Cálculo Reforma 2027-2033'.</t>
        </is>
      </c>
    </row>
    <row r="17" ht="30" customHeight="1">
      <c r="B17" s="7" t="inlineStr">
        <is>
          <t>7) Formação do preço de venda pelo método do divisor ('por dentro'): Preço = (Custo − Créditos) ÷ [1 − (%Despesas Variáveis + %Despesas Fixas + %Margem + %Carga Tributária)].</t>
        </is>
      </c>
    </row>
    <row r="18" ht="15" customHeight="1">
      <c r="B18" s="7" t="inlineStr">
        <is>
          <t>8) Comparação dos cenários ano a ano e conclusão — aba 'Comparativo Consolidado'.</t>
        </is>
      </c>
    </row>
    <row r="20">
      <c r="B20" s="48" t="inlineStr">
        <is>
          <t>3. FÓRMULA DE FORMAÇÃO DE PREÇO (MÉTODO DO DIVISOR)</t>
        </is>
      </c>
    </row>
    <row r="21" ht="15" customHeight="1">
      <c r="B21" s="7" t="inlineStr">
        <is>
          <t>Preço de Venda = (Custo Total − Créditos Tributários Recuperáveis) ÷ Divisor</t>
        </is>
      </c>
    </row>
    <row r="22" ht="30" customHeight="1">
      <c r="B22" s="7" t="inlineStr">
        <is>
          <t>Divisor = 1 − (% Despesas Variáveis + % Despesas Fixas + % Margem de Lucro Desejada + % Carga Tributária Efetiva)</t>
        </is>
      </c>
    </row>
    <row r="23" ht="45" customHeight="1">
      <c r="B23" s="7" t="inlineStr">
        <is>
          <t>Este método ('markup divisor' ou preço 'por dentro') é o padrão utilizado em custos e formação de preço no Brasil, pois todos os tributos e percentuais informados incidem sobre o próprio preço de venda (base 'por dentro'), e não sobre o custo.</t>
        </is>
      </c>
    </row>
    <row r="25">
      <c r="B25" s="48" t="inlineStr">
        <is>
          <t>4. PREMISSAS E SIMPLIFICAÇÕES ADOTADAS</t>
        </is>
      </c>
    </row>
    <row r="26" ht="60" customHeight="1">
      <c r="B26" s="7" t="inlineStr">
        <is>
          <t>• As alíquotas de CBS e IBS constantes da aba 'Parâmetros' são ESTIMATIVAS técnicas (associadas a estudos do Ministério da Fazenda e da Instituição Fiscal Independente — IFI, 2024/2025), pois a alíquota de referência definitiva depende de Resolução do Senado Federal, a ser recalibrada anualmente pelo Comitê Gestor do IBS conforme a arrecadação observada. ATUALIZAR sempre que houver nova publicação oficial.</t>
        </is>
      </c>
    </row>
    <row r="27" ht="90" customHeight="1">
      <c r="B27" s="7" t="inlineStr">
        <is>
          <t>• Simples Nacional: a Reforma preserva o regime unificado do DAS para o optante padrão — a carga tributária própria do optante é modelada como CONSTANTE (alíquota efetiva do Simples) em todo o período 2026-2033, pois PIS/COFINS/ICMS/ISS continuam recolhidos dentro da guia única, sem discriminação de CBS/IBS na apuração do próprio contribuinte. A LC 214/2025 faculta ao optante do Simples migrar para o 'regime de apuração regular' do IBS/CBS caso deseje conceder crédito integral a clientes sujeitos ao regime regular (decisão estratégica a avaliar caso a caso — não modelada automaticamente nesta planilha).</t>
        </is>
      </c>
    </row>
    <row r="28" ht="60" customHeight="1">
      <c r="B28" s="7" t="inlineStr">
        <is>
          <t>• Lucro Presumido: no regime ATUAL, PIS/COFINS são cumulativos (sem crédito). Sob a Reforma, CBS e IBS são não cumulativos de forma ampla, inclusive para o Lucro Presumido — por isso a planilha passa a considerar créditos sobre insumos para esse regime a partir da transição, o que representa um ganho relevante a destacar na análise ao cliente.</t>
        </is>
      </c>
    </row>
    <row r="29" ht="45" customHeight="1">
      <c r="B29" s="7" t="inlineStr">
        <is>
          <t>• IPI: por simplificação, foi tratado dentro do mesmo cronograma de extinção do PIS/COFINS (ambos tributos federais eliminados a partir de 2027, exceto industrialização na Zona Franca de Manaus, que mantém tratamento diferenciado e não está contemplada nesta planilha).</t>
        </is>
      </c>
    </row>
    <row r="30" ht="45" customHeight="1">
      <c r="B30" s="7" t="inlineStr">
        <is>
          <t>• Imposto Seletivo (IS): modelado apenas quando o produto for sinalizado como sujeito ao IS em 'Dados de Entrada' (ex.: cigarros, bebidas alcoólicas, veículos poluentes, bens minerais). Alíquota específica deve ser pesquisada por NCM/produto e ajustada em 'Parâmetros'.</t>
        </is>
      </c>
    </row>
    <row r="31" ht="45" customHeight="1">
      <c r="B31" s="7" t="inlineStr">
        <is>
          <t>• Créditos tributários: calculados como % de aproveitamento aplicado sobre os insumos elegíveis, multiplicado pela alíquota nominal (regime atual) ou pela carga efetiva do ano (Reforma). Créditos reduzem o CUSTO líquido usado na fórmula do preço — não reduzem a alíquota de débito que compõe o divisor.</t>
        </is>
      </c>
    </row>
    <row r="32" ht="60" customHeight="1">
      <c r="B32" s="7" t="inlineStr">
        <is>
          <t>• Split payment: a LC 214/2025 prevê mecanismo de recolhimento automático do IBS/CBS no momento da liquidação financeira da venda ('split payment'). Esse mecanismo não altera a carga tributária, mas impacta o fluxo de caixa (o valor do tributo é segregado antes de ingressar na conta do vendedor) — recomenda-se atenção ao capital de giro na transição, não quantificada nesta planilha.</t>
        </is>
      </c>
    </row>
    <row r="33" ht="30" customHeight="1">
      <c r="B33" s="7" t="inlineStr">
        <is>
          <t>• Cashback / devolução para famílias de baixa renda e cesta básica nacional (alíquota zero) não foram modelados, pois dependem do enquadramento específico do produto/serviço e do perfil do consumidor final.</t>
        </is>
      </c>
    </row>
    <row r="34" ht="150" customHeight="1">
      <c r="B34" s="7" t="inlineStr">
        <is>
          <t>• Crédito Presumido — Resíduos Sólidos (Art. 170, LC 214/2025): contribuinte do IBS/CBS no regime regular que adquire resíduos sólidos de coletores incentivados (catador pessoa física, cooperativa ou associação de catadores) para destinação final ambientalmente adequada pode apropriar crédito presumido mesmo sem tributação na etapa anterior (o catador normalmente não é contribuinte). Percentuais: CBS fixo em 7% (a partir de 2027); IBS escalonado de 1,3% (2029) a 13% (2033), acompanhando o cronograma geral de transição. Há exclusões no §3º do art. 170 (ex.: agrotóxicos, medicamentos, pilhas e baterias). Modelado na aba 'Cálculo Reforma 2027-2033' apenas quando o campo correspondente em 'Dados de Entrada' for preenchido — aplicável a clientes do setor de reciclagem/sucata; nos demais casos o valor é zero. Este é apenas UM entre vários créditos presumidos setoriais previstos na LC 214/2025 (há também regimes específicos para agronegócio, entre outros); casos não cobertos por esta planilha devem ser analisados individualmente.</t>
        </is>
      </c>
    </row>
    <row r="36">
      <c r="B36" s="48" t="inlineStr">
        <is>
          <t>5. RECOMENDAÇÕES AO CONSULTOR</t>
        </is>
      </c>
    </row>
    <row r="37" ht="30" customHeight="1">
      <c r="B37" s="7" t="inlineStr">
        <is>
          <t>• Revisar e atualizar a aba 'Parâmetros' periodicamente, especialmente após publicação das alíquotas de referência pelo Senado Federal e das definições do Comitê Gestor do IBS.</t>
        </is>
      </c>
    </row>
    <row r="38" ht="45" customHeight="1">
      <c r="B38" s="7" t="inlineStr">
        <is>
          <t>• Para clientes do Simples Nacional com forte relacionamento B2B (vendas para empresas do regime regular), avaliar a conveniência da opção pelo regime de apuração regular do IBS/CBS, dado o potencial de perda de competitividade caso concorrentes ofereçam crédito integral.</t>
        </is>
      </c>
    </row>
    <row r="39" ht="45" customHeight="1">
      <c r="B39" s="7" t="inlineStr">
        <is>
          <t>• Reavaliar a composição de custos e despesas (aba 'Dados de Entrada') anualmente, pois a Reforma tende a alterar a decisão de compra 'com nota' vs. 'sem nota' (créditos só existem com documentação fiscal idônea).</t>
        </is>
      </c>
    </row>
    <row r="40" ht="30" customHeight="1">
      <c r="B40" s="7" t="inlineStr">
        <is>
          <t>• Esta planilha é uma ferramenta de simulação gerencial: não substitui a apuração fiscal formal, o parecer tributário individualizado nem o acompanhamento da regulamentação infralegal em curso até 2033.</t>
        </is>
      </c>
    </row>
    <row r="42">
      <c r="B42" s="48" t="inlineStr">
        <is>
          <t>6. MÓDULO 'SIMPLES — ÚNICO x HÍBRIDO' (LC 214/2025, ART. 41, §3º)</t>
        </is>
      </c>
    </row>
    <row r="43" ht="45" customHeight="1">
      <c r="B43" s="7" t="inlineStr">
        <is>
          <t>• Objetivo: apoiar a decisão de cliente do Simples Nacional entre permanecer no Regime Único (IBS/CBS recolhidos por dentro do DAS) ou migrar para o Regime Híbrido (IBS/CBS apurados por fora, pelo regime não cumulativo, com repasse de crédito pleno ao comprador).</t>
        </is>
      </c>
    </row>
    <row r="44" ht="30" customHeight="1">
      <c r="B44" s="7" t="inlineStr">
        <is>
          <t>• Alíquota Efetiva do Simples = (RBT12 × Alíquota Nominal da Faixa − Parcela a Deduzir) ÷ RBT12 (LC 123/2006, art. 18, §1º-A).</t>
        </is>
      </c>
    </row>
    <row r="45" ht="45" customHeight="1">
      <c r="B45" s="7" t="inlineStr">
        <is>
          <t>• Componente IBS/CBS embutido = Alíquota Efetiva × % do Anexo correspondente a ICMS/ISS/PIS/COFINS. Esse percentual é uma ESTIMATIVA a conferir na tabela de repartição do Anexo/faixa aplicável — não foi cravado como valor fixo na planilha por variar por Anexo e faixa.</t>
        </is>
      </c>
    </row>
    <row r="46" ht="30" customHeight="1">
      <c r="B46" s="7" t="inlineStr">
        <is>
          <t>• Crédito pleno no Híbrido = Receita B2B × Alíquota de Referência aplicável (cheia ou reduzida por regime específico do setor). Ganho de crédito ao comprador = Crédito Híbrido − Componente já embutido hoje.</t>
        </is>
      </c>
    </row>
    <row r="47" ht="60" customHeight="1">
      <c r="B47" s="7" t="inlineStr">
        <is>
          <t>• Impacto no próprio optante = compara a carga total no Regime Único com a carga total no Híbrido (demais tributos do DAS sem o componente IBS/CBS + débito de IBS/CBS líquido de créditos sobre compras) — segue o item 5.5 da metodologia de referência, evitando superestimar o custo do Híbrido ao ignorar os créditos que a própria empresa pode tomar.</t>
        </is>
      </c>
    </row>
    <row r="48" ht="45" customHeight="1">
      <c r="B48" s="7" t="inlineStr">
        <is>
          <t>• Restrições sempre a observar: MEI não acessa o Regime Híbrido; pedido de ressarcimento de crédito sobre bens de capital trava o retorno ao Regime Único por 2 anos consecutivos; se o comprador PJ também for optante do Simples (Regime Único), o ganho de crédito é irrelevante para ele.</t>
        </is>
      </c>
    </row>
    <row r="49" ht="30" customHeight="1">
      <c r="B49" s="7" t="inlineStr">
        <is>
          <t>• Custo de compliance adicional (sistemas, EFD própria de IBS/CBS, split payment) é apenas qualitativo nesta planilha — não há campo quantitativo, pois depende do porte da estrutura fiscal/ERP de cada cliente.</t>
        </is>
      </c>
    </row>
    <row r="50" ht="45" customHeight="1">
      <c r="B50" s="7" t="inlineStr">
        <is>
          <t>• A leitura indicativa da Seção 8 da aba é apenas um sinalizador inicial baseado no % de vendas B2B e no impacto líquido calculado — a decisão final deve considerar também o custo de compliance, o apetite do cliente para complexidade adicional e a janela de opção vigente.</t>
        </is>
      </c>
    </row>
  </sheetData>
  <mergeCells count="1">
    <mergeCell ref="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2026-07-30T13:28:59Z</dcterms:created>
  <dcterms:modified xsi:type="dcterms:W3CDTF">2026-07-30T13:28:59Z</dcterms:modified>
</cp:coreProperties>
</file>