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Dados de Entrada" sheetId="3" state="visible" r:id="rId3"/>
    <sheet name="Cálculo Regime Atual" sheetId="4" state="visible" r:id="rId4"/>
    <sheet name="Cálculo Reforma 2027-2033" sheetId="5" state="visible" r:id="rId5"/>
    <sheet name="Comparativo Consolidado" sheetId="6" state="visible" r:id="rId6"/>
    <sheet name="Memória de Cálcul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R$&quot; #,##0.00;[RED]-&quot;R$&quot; #,##0.00"/>
    <numFmt numFmtId="166" formatCode="0.0000"/>
    <numFmt numFmtId="167" formatCode="#,##0.00;[RED]-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b val="1"/>
      <color rgb="00FFFFFF"/>
      <sz val="12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0"/>
    </font>
    <font>
      <name val="Arial"/>
      <i val="1"/>
      <sz val="9"/>
    </font>
    <font>
      <name val="Arial"/>
      <sz val="9"/>
    </font>
    <font>
      <name val="Arial"/>
      <i val="1"/>
      <sz val="8"/>
    </font>
    <font>
      <name val="Arial"/>
      <b val="1"/>
      <color rgb="001F4E78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C6E0B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4" borderId="1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vertical="top" wrapText="1"/>
    </xf>
    <xf numFmtId="0" fontId="4" fillId="4" borderId="1" applyAlignment="1" pivotButton="0" quotePrefix="0" xfId="0">
      <alignment horizontal="center"/>
    </xf>
    <xf numFmtId="0" fontId="7" fillId="0" borderId="0" pivotButton="0" quotePrefix="0" xfId="0"/>
    <xf numFmtId="0" fontId="5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5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 wrapText="1"/>
    </xf>
    <xf numFmtId="10" fontId="4" fillId="4" borderId="1" pivotButton="0" quotePrefix="0" xfId="0"/>
    <xf numFmtId="0" fontId="10" fillId="0" borderId="0" applyAlignment="1" pivotButton="0" quotePrefix="0" xfId="0">
      <alignment vertical="top" wrapText="1"/>
    </xf>
    <xf numFmtId="10" fontId="4" fillId="5" borderId="1" pivotButton="0" quotePrefix="0" xfId="0"/>
    <xf numFmtId="10" fontId="3" fillId="6" borderId="1" pivotButton="0" quotePrefix="0" xfId="0"/>
    <xf numFmtId="0" fontId="10" fillId="0" borderId="0" pivotButton="0" quotePrefix="0" xfId="0"/>
    <xf numFmtId="0" fontId="3" fillId="0" borderId="1" applyAlignment="1" pivotButton="0" quotePrefix="0" xfId="0">
      <alignment horizontal="center"/>
    </xf>
    <xf numFmtId="164" fontId="4" fillId="4" borderId="1" pivotButton="0" quotePrefix="0" xfId="0"/>
    <xf numFmtId="165" fontId="4" fillId="4" borderId="1" pivotButton="0" quotePrefix="0" xfId="0"/>
    <xf numFmtId="165" fontId="3" fillId="6" borderId="1" pivotButton="0" quotePrefix="0" xfId="0"/>
    <xf numFmtId="164" fontId="3" fillId="6" borderId="1" pivotButton="0" quotePrefix="0" xfId="0"/>
    <xf numFmtId="0" fontId="8" fillId="0" borderId="1" pivotButton="0" quotePrefix="0" xfId="0"/>
    <xf numFmtId="10" fontId="8" fillId="0" borderId="1" pivotButton="0" quotePrefix="0" xfId="0"/>
    <xf numFmtId="10" fontId="5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9" fillId="3" borderId="1" applyAlignment="1" pivotButton="0" quotePrefix="0" xfId="0">
      <alignment horizontal="center"/>
    </xf>
    <xf numFmtId="0" fontId="11" fillId="0" borderId="0" pivotButton="0" quotePrefix="0" xfId="0"/>
    <xf numFmtId="164" fontId="8" fillId="0" borderId="1" pivotButton="0" quotePrefix="0" xfId="0"/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167" fontId="5" fillId="0" borderId="1" pivotButton="0" quotePrefix="0" xfId="0"/>
    <xf numFmtId="167" fontId="3" fillId="6" borderId="1" pivotButton="0" quotePrefix="0" xfId="0"/>
    <xf numFmtId="164" fontId="5" fillId="0" borderId="1" pivotButton="0" quotePrefix="0" xfId="0"/>
    <xf numFmtId="1" fontId="3" fillId="0" borderId="1" applyAlignment="1" pivotButton="0" quotePrefix="0" xfId="0">
      <alignment horizontal="center"/>
    </xf>
    <xf numFmtId="1" fontId="3" fillId="7" borderId="1" applyAlignment="1" pivotButton="0" quotePrefix="0" xfId="0">
      <alignment horizontal="center"/>
    </xf>
    <xf numFmtId="10" fontId="5" fillId="7" borderId="1" pivotButton="0" quotePrefix="0" xfId="0"/>
    <xf numFmtId="165" fontId="5" fillId="7" borderId="1" pivotButton="0" quotePrefix="0" xfId="0"/>
    <xf numFmtId="164" fontId="5" fillId="7" borderId="1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Tributária Efetiva (%) — 2026 a 2033</a:t>
            </a:r>
          </a:p>
        </rich>
      </tx>
    </title>
    <plotArea>
      <lineChart>
        <grouping val="standard"/>
        <ser>
          <idx val="0"/>
          <order val="0"/>
          <tx>
            <strRef>
              <f>'Comparativo Consolidado'!C7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'Comparativo Consolidado'!$B$8:$B$15</f>
            </numRef>
          </cat>
          <val>
            <numRef>
              <f>'Comparativo Consolidado'!$C$8:$C$15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Carga Tributária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Preço de Venda Necessário (R$) — 2026 a 2033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'Comparativo Consolidado'!D7</f>
            </strRef>
          </tx>
          <spPr>
            <a:ln>
              <a:prstDash val="solid"/>
            </a:ln>
          </spPr>
          <cat>
            <numRef>
              <f>'Comparativo Consolidado'!$B$8:$B$15</f>
            </numRef>
          </cat>
          <val>
            <numRef>
              <f>'Comparativo Consolidado'!$D$8:$D$15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34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showGridLines="0" workbookViewId="0">
      <selection activeCell="A1" sqref="A1"/>
    </sheetView>
  </sheetViews>
  <sheetFormatPr baseColWidth="8" defaultRowHeight="15" outlineLevelCol="0"/>
  <cols>
    <col width="3" customWidth="1" min="1" max="1"/>
    <col width="34" customWidth="1" min="2" max="2"/>
    <col width="46" customWidth="1" min="3" max="3"/>
    <col width="20" customWidth="1" min="4" max="4"/>
    <col width="20" customWidth="1" min="5" max="5"/>
    <col width="20" customWidth="1" min="6" max="6"/>
  </cols>
  <sheetData>
    <row r="2" ht="30" customHeight="1">
      <c r="B2" s="1" t="inlineStr">
        <is>
          <t>SISTEMA DE PRECIFICAÇÃO TRIBUTÁRIA</t>
        </is>
      </c>
    </row>
    <row r="3"/>
    <row r="4" ht="22" customHeight="1">
      <c r="B4" s="2" t="inlineStr">
        <is>
          <t>Regime Atual  x  Reforma Tributária (CBS / IBS / IS) — Transição 2026–2033</t>
        </is>
      </c>
    </row>
    <row r="6">
      <c r="B6" s="3" t="inlineStr">
        <is>
          <t>Elaborado para:</t>
        </is>
      </c>
      <c r="C6" s="4" t="inlineStr">
        <is>
          <t>[Nome do Cliente]</t>
        </is>
      </c>
    </row>
    <row r="7">
      <c r="B7" s="3" t="inlineStr">
        <is>
          <t>Elaborado por:</t>
        </is>
      </c>
      <c r="C7" s="4" t="inlineStr">
        <is>
          <t>[Contador(a) / Consultor(a) Responsável]</t>
        </is>
      </c>
    </row>
    <row r="8">
      <c r="B8" s="3" t="inlineStr">
        <is>
          <t>Data de referência:</t>
        </is>
      </c>
      <c r="C8" s="5" t="inlineStr">
        <is>
          <t>29/07/2026</t>
        </is>
      </c>
    </row>
    <row r="10" ht="20" customHeight="1">
      <c r="B10" s="6" t="inlineStr">
        <is>
          <t>COMO USAR ESTA PLANILHA</t>
        </is>
      </c>
    </row>
    <row r="11" ht="28" customHeight="1">
      <c r="B11" s="7" t="inlineStr">
        <is>
          <t>1. Aba 'Parâmetros': revise as alíquotas do regime atual e as estimativas de CBS/IBS/IS e o cronograma de transição. Ajuste sempre que houver nova regulamentação (Lei Complementar / Resolução do Senado).</t>
        </is>
      </c>
    </row>
    <row r="12" ht="28" customHeight="1">
      <c r="B12" s="7" t="inlineStr">
        <is>
          <t>2. Aba 'Dados de Entrada': preencha os dados do produto/serviço, regime tributário do cliente, custos, despesas e margem desejada.</t>
        </is>
      </c>
    </row>
    <row r="13" ht="28" customHeight="1">
      <c r="B13" s="7" t="inlineStr">
        <is>
          <t>3. Aba 'Cálculo Regime Atual': mostra a carga tributária e o preço de venda ANTES da Reforma (Simples Nacional, Lucro Presumido e Lucro Real).</t>
        </is>
      </c>
    </row>
    <row r="14" ht="28" customHeight="1">
      <c r="B14" s="7" t="inlineStr">
        <is>
          <t>4. Aba 'Cálculo Reforma 2027-2033': mostra, ano a ano, a carga tributária efetiva (CBS+IBS+IS) durante a transição e o preço de venda necessário.</t>
        </is>
      </c>
    </row>
    <row r="15" ht="28" customHeight="1">
      <c r="B15" s="7" t="inlineStr">
        <is>
          <t>5. Aba 'Comparativo Consolidado': resume a evolução da carga tributária e do preço de venda de 2026 a 2033, com gráfico.</t>
        </is>
      </c>
    </row>
    <row r="16" ht="28" customHeight="1">
      <c r="B16" s="7" t="inlineStr">
        <is>
          <t>6. Aba 'Memória de Cálculo': documenta fórmulas, premissas, fontes legais e observações técnicas.</t>
        </is>
      </c>
    </row>
    <row r="18" ht="20" customHeight="1">
      <c r="B18" s="6" t="inlineStr">
        <is>
          <t>LEGENDA DE CORES</t>
        </is>
      </c>
    </row>
    <row r="19">
      <c r="B19" s="8" t="inlineStr">
        <is>
          <t xml:space="preserve">  Exemplo  </t>
        </is>
      </c>
      <c r="C19" s="9" t="inlineStr">
        <is>
          <t>Célula de entrada — edite aqui</t>
        </is>
      </c>
    </row>
    <row r="20">
      <c r="B20" s="10" t="inlineStr">
        <is>
          <t xml:space="preserve">  Exemplo  </t>
        </is>
      </c>
      <c r="C20" s="9" t="inlineStr">
        <is>
          <t>Fórmula — não editar</t>
        </is>
      </c>
    </row>
    <row r="21">
      <c r="B21" s="11" t="inlineStr">
        <is>
          <t xml:space="preserve">  Exemplo  </t>
        </is>
      </c>
      <c r="C21" s="9" t="inlineStr">
        <is>
          <t>Link/referência para outra aba</t>
        </is>
      </c>
    </row>
    <row r="22">
      <c r="B22" s="12" t="inlineStr">
        <is>
          <t xml:space="preserve">  Exemplo  </t>
        </is>
      </c>
      <c r="C22" s="9" t="inlineStr">
        <is>
          <t>Premissa-chave / estimativa a confirmar na regulamentação</t>
        </is>
      </c>
    </row>
    <row r="23">
      <c r="B23" s="13" t="inlineStr">
        <is>
          <t xml:space="preserve">  Exemplo  </t>
        </is>
      </c>
      <c r="C23" s="9" t="inlineStr">
        <is>
          <t>Resultado / total</t>
        </is>
      </c>
    </row>
    <row r="25" ht="20" customHeight="1">
      <c r="B25" s="6" t="inlineStr">
        <is>
          <t>AVISO IMPORTANTE</t>
        </is>
      </c>
    </row>
    <row r="26" ht="18" customHeight="1">
      <c r="B26" s="7" t="inlineStr">
        <is>
          <t>As alíquotas de referência da CBS e do IBS ainda dependem de regulamentação final (Resolução do Senado Federal, nos termos do art. 156-A e art. 195, V, da CF/88, com redação da EC 132/2023, e da LC 214/2025). Os percentuais aqui utilizados são ESTIMATIVAS técnicas (Ministério da Fazenda / IFI, 2024-2025) para fins de simulação e devem ser atualizados pelo contador assim que os valores oficiais forem publicados. Esta planilha é uma ferramenta de apoio gerencial e não substitui a apuração fiscal formal.</t>
        </is>
      </c>
    </row>
    <row r="27" ht="18" customHeight="1"/>
    <row r="28" ht="18" customHeight="1"/>
    <row r="29" ht="18" customHeight="1"/>
  </sheetData>
  <mergeCells count="12">
    <mergeCell ref="B4:F4"/>
    <mergeCell ref="B12:F12"/>
    <mergeCell ref="B26:F29"/>
    <mergeCell ref="B16:F16"/>
    <mergeCell ref="B15:F15"/>
    <mergeCell ref="B2:F3"/>
    <mergeCell ref="B11:F11"/>
    <mergeCell ref="B10:F10"/>
    <mergeCell ref="B25:F25"/>
    <mergeCell ref="B14:F14"/>
    <mergeCell ref="B18:F18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50" customWidth="1" min="4" max="4"/>
  </cols>
  <sheetData>
    <row r="2" ht="24" customHeight="1">
      <c r="B2" s="1" t="inlineStr">
        <is>
          <t>PARÂMETROS TRIBUTÁRIOS</t>
        </is>
      </c>
    </row>
    <row r="4" ht="20" customHeight="1">
      <c r="B4" s="6" t="inlineStr">
        <is>
          <t>1. TRIBUTOS DO REGIME ATUAL (ANTES DA REFORMA)</t>
        </is>
      </c>
    </row>
    <row r="5" ht="30" customHeight="1">
      <c r="B5" s="14" t="inlineStr">
        <is>
          <t>Tributo / Parâmetro</t>
        </is>
      </c>
      <c r="C5" s="14" t="inlineStr">
        <is>
          <t>Alíquota</t>
        </is>
      </c>
      <c r="D5" s="14" t="inlineStr">
        <is>
          <t>Observação</t>
        </is>
      </c>
    </row>
    <row r="6" ht="26" customHeight="1">
      <c r="B6" s="9" t="inlineStr">
        <is>
          <t>PIS – Regime Cumulativo (Lucro Presumido)</t>
        </is>
      </c>
      <c r="C6" s="15" t="n">
        <v>0.0065</v>
      </c>
      <c r="D6" s="16" t="inlineStr">
        <is>
          <t>Lei 9.715/1998. Base: receita bruta, sem direito a crédito.</t>
        </is>
      </c>
    </row>
    <row r="7" ht="26" customHeight="1">
      <c r="B7" s="9" t="inlineStr">
        <is>
          <t>PIS – Regime Não Cumulativo (Lucro Real)</t>
        </is>
      </c>
      <c r="C7" s="15" t="n">
        <v>0.0165</v>
      </c>
      <c r="D7" s="16" t="inlineStr">
        <is>
          <t>Lei 10.637/2002. Permite crédito sobre insumos.</t>
        </is>
      </c>
    </row>
    <row r="8" ht="26" customHeight="1">
      <c r="B8" s="9" t="inlineStr">
        <is>
          <t>COFINS – Regime Cumulativo (Lucro Presumido)</t>
        </is>
      </c>
      <c r="C8" s="15" t="n">
        <v>0.03</v>
      </c>
      <c r="D8" s="16" t="inlineStr">
        <is>
          <t>Lei 9.718/1998. Base: receita bruta, sem direito a crédito.</t>
        </is>
      </c>
    </row>
    <row r="9" ht="26" customHeight="1">
      <c r="B9" s="9" t="inlineStr">
        <is>
          <t>COFINS – Regime Não Cumulativo (Lucro Real)</t>
        </is>
      </c>
      <c r="C9" s="15" t="n">
        <v>0.076</v>
      </c>
      <c r="D9" s="16" t="inlineStr">
        <is>
          <t>Lei 10.833/2003. Permite crédito sobre insumos.</t>
        </is>
      </c>
    </row>
    <row r="10" ht="26" customHeight="1">
      <c r="B10" s="9" t="inlineStr">
        <is>
          <t>ICMS – Alíquota Interna (UF do cliente)</t>
        </is>
      </c>
      <c r="C10" s="15" t="n">
        <v>0.18</v>
      </c>
      <c r="D10" s="16" t="inlineStr">
        <is>
          <t>Editar conforme UF (varia de 17% a 22%). Ex.: SP 18%, RJ 20%.</t>
        </is>
      </c>
    </row>
    <row r="11" ht="26" customHeight="1">
      <c r="B11" s="9" t="inlineStr">
        <is>
          <t>ISS – Alíquota Municipal</t>
        </is>
      </c>
      <c r="C11" s="15" t="n">
        <v>0.03</v>
      </c>
      <c r="D11" s="16" t="inlineStr">
        <is>
          <t>Editar conforme município (mínimo 2% – LC 116/2003, máx. 5%).</t>
        </is>
      </c>
    </row>
    <row r="12" ht="26" customHeight="1">
      <c r="B12" s="9" t="inlineStr">
        <is>
          <t>IPI – Alíquota Média (se aplicável)</t>
        </is>
      </c>
      <c r="C12" s="15" t="n">
        <v>0.1</v>
      </c>
      <c r="D12" s="16" t="inlineStr">
        <is>
          <t>Varia por NCM/TIPI. Ajustar conforme o produto; 0% se não industrializado.</t>
        </is>
      </c>
    </row>
    <row r="13" ht="26" customHeight="1">
      <c r="B13" s="9" t="inlineStr">
        <is>
          <t>Simples Nacional – Alíquota Efetiva (DAS)</t>
        </is>
      </c>
      <c r="C13" s="15" t="n">
        <v>0.06</v>
      </c>
      <c r="D13" s="16" t="inlineStr">
        <is>
          <t>Alíquota efetiva do Anexo/Faixa do cliente (RBT12). Calcular à parte na apuração do Simples.</t>
        </is>
      </c>
    </row>
    <row r="15" ht="20" customHeight="1">
      <c r="B15" s="6" t="inlineStr">
        <is>
          <t>2. REFORMA TRIBUTÁRIA — CBS / IBS / IS (ESTIMATIVAS DE REFERÊNCIA)</t>
        </is>
      </c>
    </row>
    <row r="16" ht="30" customHeight="1">
      <c r="B16" s="14" t="inlineStr">
        <is>
          <t>Tributo / Parâmetro</t>
        </is>
      </c>
      <c r="C16" s="14" t="inlineStr">
        <is>
          <t>Alíquota</t>
        </is>
      </c>
      <c r="D16" s="14" t="inlineStr">
        <is>
          <t>Observação</t>
        </is>
      </c>
    </row>
    <row r="17" ht="26" customHeight="1">
      <c r="B17" s="9" t="inlineStr">
        <is>
          <t>CBS – Contribuição sobre Bens e Serviços (Federal)</t>
        </is>
      </c>
      <c r="C17" s="17" t="n">
        <v>0.08799999999999999</v>
      </c>
      <c r="D17" s="16" t="inlineStr">
        <is>
          <t>Estimativa técnica (Min. Fazenda / IFI, 2024-25). Substitui PIS e COFINS. Confirmar via Resolução do Senado.</t>
        </is>
      </c>
    </row>
    <row r="18" ht="26" customHeight="1">
      <c r="B18" s="9" t="inlineStr">
        <is>
          <t>IBS – Parcela Estadual</t>
        </is>
      </c>
      <c r="C18" s="17" t="n">
        <v>0.142</v>
      </c>
      <c r="D18" s="16" t="inlineStr">
        <is>
          <t>Estimativa técnica. Substitui o ICMS. Alíquota de referência fixada por Resolução do Senado (art. 156-A, §1º, XI, CF).</t>
        </is>
      </c>
    </row>
    <row r="19" ht="26" customHeight="1">
      <c r="B19" s="9" t="inlineStr">
        <is>
          <t>IBS – Parcela Municipal</t>
        </is>
      </c>
      <c r="C19" s="17" t="n">
        <v>0.035</v>
      </c>
      <c r="D19" s="16" t="inlineStr">
        <is>
          <t>Estimativa técnica. Substitui o ISS.</t>
        </is>
      </c>
    </row>
    <row r="20">
      <c r="B20" s="3" t="inlineStr">
        <is>
          <t>IBS Total (Estadual + Municipal)</t>
        </is>
      </c>
      <c r="C20" s="18">
        <f>C18+C19</f>
        <v/>
      </c>
      <c r="D20" s="19" t="inlineStr">
        <is>
          <t>Soma automática.</t>
        </is>
      </c>
    </row>
    <row r="21" ht="20" customHeight="1">
      <c r="B21" s="3" t="inlineStr">
        <is>
          <t>IVA Dual Total (CBS + IBS)</t>
        </is>
      </c>
      <c r="C21" s="18">
        <f>C17+C20</f>
        <v/>
      </c>
      <c r="D21" s="16" t="inlineStr">
        <is>
          <t>Referência: carga nominal cheia (sem créditos) quando a transição estiver 100% concluída (2033).</t>
        </is>
      </c>
    </row>
    <row r="22" ht="26" customHeight="1">
      <c r="B22" s="9" t="inlineStr">
        <is>
          <t>IS – Imposto Seletivo (produto específico)</t>
        </is>
      </c>
      <c r="C22" s="15" t="n">
        <v>0</v>
      </c>
      <c r="D22" s="16" t="inlineStr">
        <is>
          <t>Incide sobre produtos prejudiciais à saúde/meio ambiente (cigarros, bebidas alcoólicas, veículos poluentes, etc.). 0% se não aplicável.</t>
        </is>
      </c>
    </row>
    <row r="24" ht="20" customHeight="1">
      <c r="B24" s="6" t="inlineStr">
        <is>
          <t>3. CRONOGRAMA DE TRANSIÇÃO (EC 132/2023 e LC 214/2025)</t>
        </is>
      </c>
    </row>
    <row r="25" ht="30" customHeight="1">
      <c r="B25" s="14" t="inlineStr">
        <is>
          <t>Ano</t>
        </is>
      </c>
      <c r="C25" s="14" t="inlineStr">
        <is>
          <t>% Antigo
(PIS/COFINS)</t>
        </is>
      </c>
      <c r="D25" s="14" t="inlineStr">
        <is>
          <t>% Novo
(CBS)</t>
        </is>
      </c>
      <c r="E25" s="14" t="inlineStr">
        <is>
          <t>% Antigo
(ICMS/ISS)</t>
        </is>
      </c>
      <c r="F25" s="14" t="inlineStr">
        <is>
          <t>% Novo
(IBS)</t>
        </is>
      </c>
      <c r="G25" s="14" t="inlineStr">
        <is>
          <t>Observações</t>
        </is>
      </c>
    </row>
    <row r="26" ht="40" customHeight="1">
      <c r="B26" s="20" t="n">
        <v>2026</v>
      </c>
      <c r="C26" s="21" t="n">
        <v>1</v>
      </c>
      <c r="D26" s="21" t="n">
        <v>0</v>
      </c>
      <c r="E26" s="21" t="n">
        <v>1</v>
      </c>
      <c r="F26" s="21" t="n">
        <v>0</v>
      </c>
      <c r="G26" s="16" t="inlineStr">
        <is>
          <t>Ano-teste: CBS 0,9% e IBS 0,1% são compensáveis com PIS/COFINS/ICMS/ISS devidos (sem custo adicional líquido).</t>
        </is>
      </c>
    </row>
    <row r="27" ht="40" customHeight="1">
      <c r="B27" s="20" t="n">
        <v>2027</v>
      </c>
      <c r="C27" s="21" t="n">
        <v>0</v>
      </c>
      <c r="D27" s="21" t="n">
        <v>1</v>
      </c>
      <c r="E27" s="21" t="n">
        <v>1</v>
      </c>
      <c r="F27" s="21" t="n">
        <v>0</v>
      </c>
      <c r="G27" s="16" t="inlineStr">
        <is>
          <t>Extinção de PIS e COFINS; CBS em alíquota cheia. IPI reduzido a 0% (exceto Zona Franca de Manaus). IBS ainda em fase de teste (0,1%).</t>
        </is>
      </c>
    </row>
    <row r="28" ht="40" customHeight="1">
      <c r="B28" s="20" t="n">
        <v>2028</v>
      </c>
      <c r="C28" s="21" t="n">
        <v>0</v>
      </c>
      <c r="D28" s="21" t="n">
        <v>1</v>
      </c>
      <c r="E28" s="21" t="n">
        <v>1</v>
      </c>
      <c r="F28" s="21" t="n">
        <v>0</v>
      </c>
      <c r="G28" s="16" t="inlineStr">
        <is>
          <t>Mantém-se a sistemática de 2027 (CBS plena / ICMS-ISS integrais).</t>
        </is>
      </c>
    </row>
    <row r="29" ht="40" customHeight="1">
      <c r="B29" s="20" t="n">
        <v>2029</v>
      </c>
      <c r="C29" s="21" t="n">
        <v>0</v>
      </c>
      <c r="D29" s="21" t="n">
        <v>1</v>
      </c>
      <c r="E29" s="21" t="n">
        <v>0.9</v>
      </c>
      <c r="F29" s="21" t="n">
        <v>0.1</v>
      </c>
      <c r="G29" s="16" t="inlineStr">
        <is>
          <t>Início da transição do IBS: redução de 10% em ICMS e ISS.</t>
        </is>
      </c>
    </row>
    <row r="30" ht="40" customHeight="1">
      <c r="B30" s="20" t="n">
        <v>2030</v>
      </c>
      <c r="C30" s="21" t="n">
        <v>0</v>
      </c>
      <c r="D30" s="21" t="n">
        <v>1</v>
      </c>
      <c r="E30" s="21" t="n">
        <v>0.8</v>
      </c>
      <c r="F30" s="21" t="n">
        <v>0.2</v>
      </c>
      <c r="G30" s="16" t="inlineStr">
        <is>
          <t>Redução de 20% em ICMS e ISS.</t>
        </is>
      </c>
    </row>
    <row r="31" ht="40" customHeight="1">
      <c r="B31" s="20" t="n">
        <v>2031</v>
      </c>
      <c r="C31" s="21" t="n">
        <v>0</v>
      </c>
      <c r="D31" s="21" t="n">
        <v>1</v>
      </c>
      <c r="E31" s="21" t="n">
        <v>0.7</v>
      </c>
      <c r="F31" s="21" t="n">
        <v>0.3</v>
      </c>
      <c r="G31" s="16" t="inlineStr">
        <is>
          <t>Redução de 30% em ICMS e ISS.</t>
        </is>
      </c>
    </row>
    <row r="32" ht="40" customHeight="1">
      <c r="B32" s="20" t="n">
        <v>2032</v>
      </c>
      <c r="C32" s="21" t="n">
        <v>0</v>
      </c>
      <c r="D32" s="21" t="n">
        <v>1</v>
      </c>
      <c r="E32" s="21" t="n">
        <v>0.6</v>
      </c>
      <c r="F32" s="21" t="n">
        <v>0.4</v>
      </c>
      <c r="G32" s="16" t="inlineStr">
        <is>
          <t>Redução de 40% em ICMS e ISS.</t>
        </is>
      </c>
    </row>
    <row r="33" ht="40" customHeight="1">
      <c r="B33" s="20" t="n">
        <v>2033</v>
      </c>
      <c r="C33" s="21" t="n">
        <v>0</v>
      </c>
      <c r="D33" s="21" t="n">
        <v>1</v>
      </c>
      <c r="E33" s="21" t="n">
        <v>0</v>
      </c>
      <c r="F33" s="21" t="n">
        <v>1</v>
      </c>
      <c r="G33" s="16" t="inlineStr">
        <is>
          <t>Extinção total do ICMS e do ISS. IBS e CBS plenamente vigentes.</t>
        </is>
      </c>
    </row>
    <row r="35" ht="30" customHeight="1">
      <c r="B35" s="16" t="inlineStr">
        <is>
          <t>Observação: os pesos acima refletem o desenho geral da transição previsto na EC 132/2023 e na LC 214/2025. Ajustes supervenientes por lei complementar/resolução devem ser refletidos diretamente nesta tabela.</t>
        </is>
      </c>
    </row>
  </sheetData>
  <mergeCells count="13">
    <mergeCell ref="G29:H29"/>
    <mergeCell ref="G30:H30"/>
    <mergeCell ref="B35:H35"/>
    <mergeCell ref="G32:H32"/>
    <mergeCell ref="G33:H33"/>
    <mergeCell ref="B4:D4"/>
    <mergeCell ref="G27:H27"/>
    <mergeCell ref="G28:H28"/>
    <mergeCell ref="G31:H31"/>
    <mergeCell ref="B15:D15"/>
    <mergeCell ref="B24:D24"/>
    <mergeCell ref="G26:H26"/>
    <mergeCell ref="B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23"/>
  <sheetViews>
    <sheetView showGridLines="0" workbookViewId="0">
      <selection activeCell="A1" sqref="A1"/>
    </sheetView>
  </sheetViews>
  <sheetFormatPr baseColWidth="8" defaultRowHeight="15" outlineLevelCol="0"/>
  <cols>
    <col width="3" customWidth="1" min="1" max="1"/>
    <col width="42" customWidth="1" min="2" max="2"/>
    <col width="22" customWidth="1" min="3" max="3"/>
    <col width="46" customWidth="1" min="4" max="4"/>
  </cols>
  <sheetData>
    <row r="2" ht="24" customHeight="1">
      <c r="B2" s="1" t="inlineStr">
        <is>
          <t>DADOS DE ENTRADA</t>
        </is>
      </c>
    </row>
    <row r="4" ht="20" customHeight="1">
      <c r="B4" s="6" t="inlineStr">
        <is>
          <t>1. IDENTIFICAÇÃO</t>
        </is>
      </c>
    </row>
    <row r="5" ht="18" customHeight="1">
      <c r="B5" s="9" t="inlineStr">
        <is>
          <t>Produto / Serviço</t>
        </is>
      </c>
      <c r="C5" s="4" t="inlineStr">
        <is>
          <t>[Descrição do produto ou serviço]</t>
        </is>
      </c>
    </row>
    <row r="6" ht="18" customHeight="1">
      <c r="B6" s="9" t="inlineStr">
        <is>
          <t>Tipo de Operação</t>
        </is>
      </c>
      <c r="C6" s="4" t="inlineStr">
        <is>
          <t>Mercadoria</t>
        </is>
      </c>
      <c r="D6" s="19" t="inlineStr">
        <is>
          <t>Mercadoria ou Serviço</t>
        </is>
      </c>
    </row>
    <row r="7" ht="18" customHeight="1">
      <c r="B7" s="9" t="inlineStr">
        <is>
          <t>Regime Tributário do Cliente</t>
        </is>
      </c>
      <c r="C7" s="4" t="inlineStr">
        <is>
          <t>Lucro Presumido</t>
        </is>
      </c>
      <c r="D7" s="19" t="inlineStr">
        <is>
          <t>Simples Nacional / Lucro Presumido / Lucro Real</t>
        </is>
      </c>
    </row>
    <row r="8" ht="18" customHeight="1">
      <c r="B8" s="9" t="inlineStr">
        <is>
          <t>UF</t>
        </is>
      </c>
      <c r="C8" s="4" t="inlineStr">
        <is>
          <t>SP</t>
        </is>
      </c>
      <c r="D8" s="19" t="inlineStr">
        <is>
          <t>Unidade da Federação</t>
        </is>
      </c>
    </row>
    <row r="9" ht="18" customHeight="1">
      <c r="B9" s="9" t="inlineStr">
        <is>
          <t>Município</t>
        </is>
      </c>
      <c r="C9" s="4" t="inlineStr">
        <is>
          <t>[Município]</t>
        </is>
      </c>
    </row>
    <row r="10" ht="18" customHeight="1">
      <c r="B10" s="9" t="inlineStr">
        <is>
          <t>Produto sujeito a IPI? (Sim/Não)</t>
        </is>
      </c>
      <c r="C10" s="4" t="inlineStr">
        <is>
          <t>Não</t>
        </is>
      </c>
    </row>
    <row r="11" ht="18" customHeight="1">
      <c r="B11" s="9" t="inlineStr">
        <is>
          <t>Produto sujeito a Imposto Seletivo? (Sim/Não)</t>
        </is>
      </c>
      <c r="C11" s="4" t="inlineStr">
        <is>
          <t>Não</t>
        </is>
      </c>
    </row>
    <row r="13" ht="20" customHeight="1">
      <c r="B13" s="6" t="inlineStr">
        <is>
          <t>2. CUSTOS, DESPESAS E MARGEM</t>
        </is>
      </c>
    </row>
    <row r="14" ht="18" customHeight="1">
      <c r="B14" s="9" t="inlineStr">
        <is>
          <t>Custo de Aquisição/Produção Unitário (R$)</t>
        </is>
      </c>
      <c r="C14" s="22" t="n">
        <v>100</v>
      </c>
    </row>
    <row r="15" ht="26" customHeight="1">
      <c r="B15" s="9" t="inlineStr">
        <is>
          <t>Insumos Sujeitos a Crédito Tributário (R$)</t>
        </is>
      </c>
      <c r="C15" s="22" t="n">
        <v>70</v>
      </c>
      <c r="D15" s="16" t="inlineStr">
        <is>
          <t>Parcela do custo acima referente a insumos com direito a crédito (compras de PJ, com nota fiscal).</t>
        </is>
      </c>
    </row>
    <row r="16" ht="26" customHeight="1">
      <c r="B16" s="9" t="inlineStr">
        <is>
          <t>% de Aproveitamento do Crédito</t>
        </is>
      </c>
      <c r="C16" s="21" t="n">
        <v>1</v>
      </c>
      <c r="D16" s="16" t="inlineStr">
        <is>
          <t>100% para Lucro Real e Reforma (não cumulativo pleno); 0% para Simples/Presumido no regime atual.</t>
        </is>
      </c>
    </row>
    <row r="17" ht="18" customHeight="1">
      <c r="B17" s="9" t="inlineStr">
        <is>
          <t>Despesas Variáveis (%) — comissões, frete, cartão etc.</t>
        </is>
      </c>
      <c r="C17" s="21" t="n">
        <v>0.05</v>
      </c>
    </row>
    <row r="18" ht="18" customHeight="1">
      <c r="B18" s="9" t="inlineStr">
        <is>
          <t>Despesas Fixas Rateadas (%)</t>
        </is>
      </c>
      <c r="C18" s="21" t="n">
        <v>0.1</v>
      </c>
    </row>
    <row r="19" ht="18" customHeight="1">
      <c r="B19" s="9" t="inlineStr">
        <is>
          <t>Margem de Lucro Desejada (%)</t>
        </is>
      </c>
      <c r="C19" s="21" t="n">
        <v>0.2</v>
      </c>
    </row>
    <row r="21" ht="20" customHeight="1">
      <c r="B21" s="6" t="inlineStr">
        <is>
          <t>3. RESUMO</t>
        </is>
      </c>
    </row>
    <row r="22">
      <c r="B22" s="3" t="inlineStr">
        <is>
          <t>Custo Total (base para formação de preço)</t>
        </is>
      </c>
      <c r="C22" s="23">
        <f>C14</f>
        <v/>
      </c>
    </row>
    <row r="23">
      <c r="B23" s="3" t="inlineStr">
        <is>
          <t>Soma Despesas Variáveis + Despesas Fixas + Margem</t>
        </is>
      </c>
      <c r="C23" s="24">
        <f>C17+C18+C19</f>
        <v/>
      </c>
    </row>
  </sheetData>
  <mergeCells count="4">
    <mergeCell ref="B21:D21"/>
    <mergeCell ref="B13:D13"/>
    <mergeCell ref="B2:D2"/>
    <mergeCell ref="B4:D4"/>
  </mergeCells>
  <dataValidations count="3">
    <dataValidation sqref="C6" showDropDown="0" showInputMessage="0" showErrorMessage="0" allowBlank="0" type="list">
      <formula1>"Mercadoria,Serviço"</formula1>
    </dataValidation>
    <dataValidation sqref="C7" showDropDown="0" showInputMessage="0" showErrorMessage="0" allowBlank="0" type="list">
      <formula1>"Simples Nacional,Lucro Presumido,Lucro Real"</formula1>
    </dataValidation>
    <dataValidation sqref="C10 C11" showDropDown="0" showInputMessage="0" showErrorMessage="0" allowBlank="0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3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" customWidth="1" min="1" max="1"/>
    <col width="42" customWidth="1" min="2" max="2"/>
    <col width="16" customWidth="1" min="3" max="3"/>
    <col width="46" customWidth="1" min="4" max="4"/>
  </cols>
  <sheetData>
    <row r="2" ht="24" customHeight="1">
      <c r="B2" s="1" t="inlineStr">
        <is>
          <t>CÁLCULO — REGIME ATUAL (ANTES DA REFORMA)</t>
        </is>
      </c>
    </row>
    <row r="4">
      <c r="B4" s="3" t="inlineStr">
        <is>
          <t>Regime Tributário Selecionado:</t>
        </is>
      </c>
      <c r="C4" s="25">
        <f>'Dados de Entrada'!C7</f>
        <v/>
      </c>
    </row>
    <row r="5">
      <c r="B5" s="3" t="inlineStr">
        <is>
          <t>Tipo de Operação:</t>
        </is>
      </c>
      <c r="C5" s="25">
        <f>'Dados de Entrada'!C6</f>
        <v/>
      </c>
    </row>
    <row r="7" ht="20" customHeight="1">
      <c r="B7" s="6" t="inlineStr">
        <is>
          <t>A. SIMPLES NACIONAL</t>
        </is>
      </c>
    </row>
    <row r="8">
      <c r="B8" s="9" t="inlineStr">
        <is>
          <t>Alíquota Efetiva do DAS</t>
        </is>
      </c>
      <c r="C8" s="26">
        <f>Parâmetros!C13</f>
        <v/>
      </c>
    </row>
    <row r="9">
      <c r="B9" s="3" t="inlineStr">
        <is>
          <t>Carga Tributária (sem créditos)</t>
        </is>
      </c>
      <c r="C9" s="18">
        <f>C8</f>
        <v/>
      </c>
      <c r="D9" s="16" t="inlineStr">
        <is>
          <t>Regra geral: o Simples Nacional não gera créditos ao adquirente na sistemática atual.</t>
        </is>
      </c>
    </row>
    <row r="11" ht="20" customHeight="1">
      <c r="B11" s="6" t="inlineStr">
        <is>
          <t>B. LUCRO PRESUMIDO</t>
        </is>
      </c>
    </row>
    <row r="12">
      <c r="B12" s="9" t="inlineStr">
        <is>
          <t>PIS (cumulativo)</t>
        </is>
      </c>
      <c r="C12" s="26">
        <f>Parâmetros!C6</f>
        <v/>
      </c>
    </row>
    <row r="13">
      <c r="B13" s="9" t="inlineStr">
        <is>
          <t>COFINS (cumulativo)</t>
        </is>
      </c>
      <c r="C13" s="26">
        <f>Parâmetros!C8</f>
        <v/>
      </c>
    </row>
    <row r="14">
      <c r="B14" s="9" t="inlineStr">
        <is>
          <t>ICMS ou ISS (conforme tipo de operação)</t>
        </is>
      </c>
      <c r="C14" s="27">
        <f>IF('Dados de Entrada'!C6="Mercadoria",Parâmetros!C10,Parâmetros!C11)</f>
        <v/>
      </c>
    </row>
    <row r="15">
      <c r="B15" s="9" t="inlineStr">
        <is>
          <t>IPI (se aplicável)</t>
        </is>
      </c>
      <c r="C15" s="27">
        <f>IF('Dados de Entrada'!C10="Sim",Parâmetros!C12,0)</f>
        <v/>
      </c>
    </row>
    <row r="16">
      <c r="B16" s="3" t="inlineStr">
        <is>
          <t>Carga Tributária Total (sem créditos)</t>
        </is>
      </c>
      <c r="C16" s="18">
        <f>SUM(C12:C15)</f>
        <v/>
      </c>
      <c r="D16" s="16" t="inlineStr">
        <is>
          <t>PIS/COFINS cumulativos não geram crédito; ICMS pode gerar crédito físico (não considerado aqui por simplificação).</t>
        </is>
      </c>
    </row>
    <row r="18" ht="20" customHeight="1">
      <c r="B18" s="6" t="inlineStr">
        <is>
          <t>C. LUCRO REAL</t>
        </is>
      </c>
    </row>
    <row r="19">
      <c r="B19" s="9" t="inlineStr">
        <is>
          <t>PIS (não cumulativo)</t>
        </is>
      </c>
      <c r="C19" s="26">
        <f>Parâmetros!C7</f>
        <v/>
      </c>
    </row>
    <row r="20">
      <c r="B20" s="9" t="inlineStr">
        <is>
          <t>COFINS (não cumulativo)</t>
        </is>
      </c>
      <c r="C20" s="26">
        <f>Parâmetros!C9</f>
        <v/>
      </c>
    </row>
    <row r="21">
      <c r="B21" s="9" t="inlineStr">
        <is>
          <t>ICMS ou ISS (conforme tipo de operação)</t>
        </is>
      </c>
      <c r="C21" s="27">
        <f>IF('Dados de Entrada'!C6="Mercadoria",Parâmetros!C10,Parâmetros!C11)</f>
        <v/>
      </c>
    </row>
    <row r="22">
      <c r="B22" s="9" t="inlineStr">
        <is>
          <t>IPI (se aplicável)</t>
        </is>
      </c>
      <c r="C22" s="27">
        <f>IF('Dados de Entrada'!C10="Sim",Parâmetros!C12,0)</f>
        <v/>
      </c>
    </row>
    <row r="23">
      <c r="B23" s="3" t="inlineStr">
        <is>
          <t>Carga Tributária Nominal (débito, sem dedução de créditos)</t>
        </is>
      </c>
      <c r="C23" s="18">
        <f>SUM(C19:C22)</f>
        <v/>
      </c>
    </row>
    <row r="24" ht="30" customHeight="1">
      <c r="B24" s="9" t="inlineStr">
        <is>
          <t>Créditos Recuperáveis sobre Insumos (R$)</t>
        </is>
      </c>
      <c r="C24" s="28">
        <f>'Dados de Entrada'!C15*'Dados de Entrada'!C16*C23</f>
        <v/>
      </c>
      <c r="D24" s="16">
        <f> Insumos com direito a crédito × % aproveitamento × alíquota nominal (PIS+COFINS+ICMS/ISS+IPI). Reduz o custo na formação do preço (não a alíquota).</f>
        <v/>
      </c>
    </row>
    <row r="26" ht="20" customHeight="1">
      <c r="B26" s="6" t="inlineStr">
        <is>
          <t>D. REGIME SELECIONADO — RESUMO</t>
        </is>
      </c>
    </row>
    <row r="27">
      <c r="B27" s="3" t="inlineStr">
        <is>
          <t>Carga Tributária Efetiva do Regime Selecionado</t>
        </is>
      </c>
      <c r="C27" s="18">
        <f>IF(C5="Simples Nacional",C9,IF(C5="Lucro Presumido",C16,C23))</f>
        <v/>
      </c>
    </row>
    <row r="28">
      <c r="B28" s="3" t="inlineStr">
        <is>
          <t>Créditos Recuperáveis do Regime Selecionado (R$)</t>
        </is>
      </c>
      <c r="C28" s="23">
        <f>IF(C5="Lucro Real",C24,0)</f>
        <v/>
      </c>
    </row>
    <row r="29">
      <c r="B29" s="19" t="inlineStr">
        <is>
          <t xml:space="preserve">  Detalhamento — Carga Federal (PIS/COFINS/IPI → futura CBS)</t>
        </is>
      </c>
      <c r="C29" s="27">
        <f>IF(C5="Simples Nacional",0,IF(C5="Lucro Presumido",C12+C13+C15,C19+C20+C22))</f>
        <v/>
      </c>
    </row>
    <row r="30" ht="40" customHeight="1">
      <c r="B30" s="19" t="inlineStr">
        <is>
          <t xml:space="preserve">  Detalhamento — Carga Estadual/Municipal (ICMS/ISS → futuro IBS)</t>
        </is>
      </c>
      <c r="C30" s="27">
        <f>IF(C5="Simples Nacional",0,IF(C5="Lucro Presumido",C14,C21))</f>
        <v/>
      </c>
      <c r="D30" s="16" t="inlineStr">
        <is>
          <t>Usado na aba 'Cálculo Reforma 2027-2033' para aplicar os pesos de transição de cada esfera (federal x estadual/municipal) separadamente. Para o Simples Nacional, o DAS é preservado como guia unificada (ver Memória de Cálculo).</t>
        </is>
      </c>
    </row>
    <row r="32" ht="20" customHeight="1">
      <c r="B32" s="6" t="inlineStr">
        <is>
          <t>E. FORMAÇÃO DE PREÇO DE VENDA (MÉTODO DO DIVISOR — "POR DENTRO")</t>
        </is>
      </c>
    </row>
    <row r="33">
      <c r="B33" s="3" t="inlineStr">
        <is>
          <t>Custo Líquido de Créditos (R$)</t>
        </is>
      </c>
      <c r="C33" s="28">
        <f>'Dados de Entrada'!C14-C28</f>
        <v/>
      </c>
    </row>
    <row r="34">
      <c r="B34" s="3" t="inlineStr">
        <is>
          <t>Divisor = 1 − (Desp. Var. + Desp. Fixas + Margem + Carga Tributária)</t>
        </is>
      </c>
      <c r="C34" s="29">
        <f>1-('Dados de Entrada'!C17+'Dados de Entrada'!C18+'Dados de Entrada'!C19+C27)</f>
        <v/>
      </c>
    </row>
    <row r="35">
      <c r="B35" s="3" t="inlineStr">
        <is>
          <t>PREÇO DE VENDA NECESSÁRIO (R$)</t>
        </is>
      </c>
      <c r="C35" s="23">
        <f>C33/C34</f>
        <v/>
      </c>
    </row>
    <row r="36">
      <c r="B36" s="9" t="inlineStr">
        <is>
          <t>Valor dos Tributos embutidos no Preço (R$)</t>
        </is>
      </c>
      <c r="C36" s="28">
        <f>C35*C27</f>
        <v/>
      </c>
    </row>
    <row r="37">
      <c r="B37" s="9" t="inlineStr">
        <is>
          <t>Lucro Líquido Projetado (R$)</t>
        </is>
      </c>
      <c r="C37" s="28">
        <f>C35*'Dados de Entrada'!C19</f>
        <v/>
      </c>
    </row>
  </sheetData>
  <mergeCells count="6">
    <mergeCell ref="B11:D11"/>
    <mergeCell ref="B32:D32"/>
    <mergeCell ref="B26:D26"/>
    <mergeCell ref="B18:D18"/>
    <mergeCell ref="B7:D7"/>
    <mergeCell ref="B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2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" customWidth="1" min="1" max="1"/>
    <col width="4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2" ht="24" customHeight="1">
      <c r="B2" s="1" t="inlineStr">
        <is>
          <t>CÁLCULO — TRANSIÇÃO DA REFORMA TRIBUTÁRIA (2026–2033)</t>
        </is>
      </c>
    </row>
    <row r="4">
      <c r="B4" s="3" t="inlineStr">
        <is>
          <t>Regime Tributário Selecionado:</t>
        </is>
      </c>
      <c r="C4" s="25">
        <f>'Dados de Entrada'!C7</f>
        <v/>
      </c>
      <c r="D4" s="30" t="n"/>
      <c r="E4" s="31" t="n"/>
    </row>
    <row r="6" ht="18" customHeight="1">
      <c r="B6" s="3" t="inlineStr">
        <is>
          <t>Ano</t>
        </is>
      </c>
      <c r="C6" s="32">
        <f>Parâmetros!B26</f>
        <v/>
      </c>
      <c r="D6" s="32">
        <f>Parâmetros!B27</f>
        <v/>
      </c>
      <c r="E6" s="32">
        <f>Parâmetros!B28</f>
        <v/>
      </c>
      <c r="F6" s="32">
        <f>Parâmetros!B29</f>
        <v/>
      </c>
      <c r="G6" s="32">
        <f>Parâmetros!B30</f>
        <v/>
      </c>
      <c r="H6" s="32">
        <f>Parâmetros!B31</f>
        <v/>
      </c>
      <c r="I6" s="32">
        <f>Parâmetros!B32</f>
        <v/>
      </c>
      <c r="J6" s="32">
        <f>Parâmetros!B33</f>
        <v/>
      </c>
    </row>
    <row r="7" ht="20" customHeight="1">
      <c r="B7" s="6" t="inlineStr">
        <is>
          <t>PESOS DE TRANSIÇÃO (Parâmetros)</t>
        </is>
      </c>
    </row>
    <row r="8">
      <c r="B8" s="33" t="inlineStr">
        <is>
          <t>% Peso Antigo — Federal (PIS/COFINS/IPI)</t>
        </is>
      </c>
      <c r="C8" s="34">
        <f>Parâmetros!C26</f>
        <v/>
      </c>
      <c r="D8" s="34">
        <f>Parâmetros!C27</f>
        <v/>
      </c>
      <c r="E8" s="34">
        <f>Parâmetros!C28</f>
        <v/>
      </c>
      <c r="F8" s="34">
        <f>Parâmetros!C29</f>
        <v/>
      </c>
      <c r="G8" s="34">
        <f>Parâmetros!C30</f>
        <v/>
      </c>
      <c r="H8" s="34">
        <f>Parâmetros!C31</f>
        <v/>
      </c>
      <c r="I8" s="34">
        <f>Parâmetros!C32</f>
        <v/>
      </c>
      <c r="J8" s="34">
        <f>Parâmetros!C33</f>
        <v/>
      </c>
    </row>
    <row r="9">
      <c r="B9" s="33" t="inlineStr">
        <is>
          <t>% Peso Novo — Federal (CBS)</t>
        </is>
      </c>
      <c r="C9" s="34">
        <f>Parâmetros!D26</f>
        <v/>
      </c>
      <c r="D9" s="34">
        <f>Parâmetros!D27</f>
        <v/>
      </c>
      <c r="E9" s="34">
        <f>Parâmetros!D28</f>
        <v/>
      </c>
      <c r="F9" s="34">
        <f>Parâmetros!D29</f>
        <v/>
      </c>
      <c r="G9" s="34">
        <f>Parâmetros!D30</f>
        <v/>
      </c>
      <c r="H9" s="34">
        <f>Parâmetros!D31</f>
        <v/>
      </c>
      <c r="I9" s="34">
        <f>Parâmetros!D32</f>
        <v/>
      </c>
      <c r="J9" s="34">
        <f>Parâmetros!D33</f>
        <v/>
      </c>
    </row>
    <row r="10">
      <c r="B10" s="33" t="inlineStr">
        <is>
          <t>% Peso Antigo — Estadual/Municipal (ICMS/ISS)</t>
        </is>
      </c>
      <c r="C10" s="34">
        <f>Parâmetros!E26</f>
        <v/>
      </c>
      <c r="D10" s="34">
        <f>Parâmetros!E27</f>
        <v/>
      </c>
      <c r="E10" s="34">
        <f>Parâmetros!E28</f>
        <v/>
      </c>
      <c r="F10" s="34">
        <f>Parâmetros!E29</f>
        <v/>
      </c>
      <c r="G10" s="34">
        <f>Parâmetros!E30</f>
        <v/>
      </c>
      <c r="H10" s="34">
        <f>Parâmetros!E31</f>
        <v/>
      </c>
      <c r="I10" s="34">
        <f>Parâmetros!E32</f>
        <v/>
      </c>
      <c r="J10" s="34">
        <f>Parâmetros!E33</f>
        <v/>
      </c>
    </row>
    <row r="11">
      <c r="B11" s="33" t="inlineStr">
        <is>
          <t>% Peso Novo — Estadual/Municipal (IBS)</t>
        </is>
      </c>
      <c r="C11" s="34">
        <f>Parâmetros!F26</f>
        <v/>
      </c>
      <c r="D11" s="34">
        <f>Parâmetros!F27</f>
        <v/>
      </c>
      <c r="E11" s="34">
        <f>Parâmetros!F28</f>
        <v/>
      </c>
      <c r="F11" s="34">
        <f>Parâmetros!F29</f>
        <v/>
      </c>
      <c r="G11" s="34">
        <f>Parâmetros!F30</f>
        <v/>
      </c>
      <c r="H11" s="34">
        <f>Parâmetros!F31</f>
        <v/>
      </c>
      <c r="I11" s="34">
        <f>Parâmetros!F32</f>
        <v/>
      </c>
      <c r="J11" s="34">
        <f>Parâmetros!F33</f>
        <v/>
      </c>
    </row>
    <row r="13" ht="20" customHeight="1">
      <c r="B13" s="6" t="inlineStr">
        <is>
          <t>CARGA TRIBUTÁRIA EFETIVA POR ANO</t>
        </is>
      </c>
    </row>
    <row r="14" ht="26" customHeight="1">
      <c r="B14" s="35" t="inlineStr">
        <is>
          <t>Carga Federal Efetiva (peso antigo × PIS/COFINS/IPI + peso novo × CBS)</t>
        </is>
      </c>
      <c r="C14" s="27">
        <f>C8*'Cálculo Regime Atual'!$C$29+C9*Parâmetros!$C$17</f>
        <v/>
      </c>
      <c r="D14" s="27">
        <f>D8*'Cálculo Regime Atual'!$C$29+D9*Parâmetros!$C$17</f>
        <v/>
      </c>
      <c r="E14" s="27">
        <f>E8*'Cálculo Regime Atual'!$C$29+E9*Parâmetros!$C$17</f>
        <v/>
      </c>
      <c r="F14" s="27">
        <f>F8*'Cálculo Regime Atual'!$C$29+F9*Parâmetros!$C$17</f>
        <v/>
      </c>
      <c r="G14" s="27">
        <f>G8*'Cálculo Regime Atual'!$C$29+G9*Parâmetros!$C$17</f>
        <v/>
      </c>
      <c r="H14" s="27">
        <f>H8*'Cálculo Regime Atual'!$C$29+H9*Parâmetros!$C$17</f>
        <v/>
      </c>
      <c r="I14" s="27">
        <f>I8*'Cálculo Regime Atual'!$C$29+I9*Parâmetros!$C$17</f>
        <v/>
      </c>
      <c r="J14" s="27">
        <f>J8*'Cálculo Regime Atual'!$C$29+J9*Parâmetros!$C$17</f>
        <v/>
      </c>
    </row>
    <row r="15" ht="26" customHeight="1">
      <c r="B15" s="35" t="inlineStr">
        <is>
          <t>Carga Estadual/Municipal Efetiva (peso antigo × ICMS/ISS + peso novo × IBS)</t>
        </is>
      </c>
      <c r="C15" s="27">
        <f>C10*'Cálculo Regime Atual'!$C$30+C11*Parâmetros!$C$20</f>
        <v/>
      </c>
      <c r="D15" s="27">
        <f>D10*'Cálculo Regime Atual'!$C$30+D11*Parâmetros!$C$20</f>
        <v/>
      </c>
      <c r="E15" s="27">
        <f>E10*'Cálculo Regime Atual'!$C$30+E11*Parâmetros!$C$20</f>
        <v/>
      </c>
      <c r="F15" s="27">
        <f>F10*'Cálculo Regime Atual'!$C$30+F11*Parâmetros!$C$20</f>
        <v/>
      </c>
      <c r="G15" s="27">
        <f>G10*'Cálculo Regime Atual'!$C$30+G11*Parâmetros!$C$20</f>
        <v/>
      </c>
      <c r="H15" s="27">
        <f>H10*'Cálculo Regime Atual'!$C$30+H11*Parâmetros!$C$20</f>
        <v/>
      </c>
      <c r="I15" s="27">
        <f>I10*'Cálculo Regime Atual'!$C$30+I11*Parâmetros!$C$20</f>
        <v/>
      </c>
      <c r="J15" s="27">
        <f>J10*'Cálculo Regime Atual'!$C$30+J11*Parâmetros!$C$20</f>
        <v/>
      </c>
    </row>
    <row r="16" ht="26" customHeight="1">
      <c r="B16" s="35" t="inlineStr">
        <is>
          <t>Imposto Seletivo — IS (se produto sujeito, a partir de 2027)</t>
        </is>
      </c>
      <c r="C16" s="27">
        <f>IF('Dados de Entrada'!$C$11="Sim",C9*Parâmetros!$C$22,0)</f>
        <v/>
      </c>
      <c r="D16" s="27">
        <f>IF('Dados de Entrada'!$C$11="Sim",D9*Parâmetros!$C$22,0)</f>
        <v/>
      </c>
      <c r="E16" s="27">
        <f>IF('Dados de Entrada'!$C$11="Sim",E9*Parâmetros!$C$22,0)</f>
        <v/>
      </c>
      <c r="F16" s="27">
        <f>IF('Dados de Entrada'!$C$11="Sim",F9*Parâmetros!$C$22,0)</f>
        <v/>
      </c>
      <c r="G16" s="27">
        <f>IF('Dados de Entrada'!$C$11="Sim",G9*Parâmetros!$C$22,0)</f>
        <v/>
      </c>
      <c r="H16" s="27">
        <f>IF('Dados de Entrada'!$C$11="Sim",H9*Parâmetros!$C$22,0)</f>
        <v/>
      </c>
      <c r="I16" s="27">
        <f>IF('Dados de Entrada'!$C$11="Sim",I9*Parâmetros!$C$22,0)</f>
        <v/>
      </c>
      <c r="J16" s="27">
        <f>IF('Dados de Entrada'!$C$11="Sim",J9*Parâmetros!$C$22,0)</f>
        <v/>
      </c>
    </row>
    <row r="17">
      <c r="B17" s="3" t="inlineStr">
        <is>
          <t>CARGA TRIBUTÁRIA TOTAL EFETIVA (ano)</t>
        </is>
      </c>
      <c r="C17" s="18">
        <f>IF('Dados de Entrada'!$C$7="Simples Nacional",Parâmetros!$C$13,C14+C15+C16)</f>
        <v/>
      </c>
      <c r="D17" s="18">
        <f>IF('Dados de Entrada'!$C$7="Simples Nacional",Parâmetros!$C$13,D14+D15+D16)</f>
        <v/>
      </c>
      <c r="E17" s="18">
        <f>IF('Dados de Entrada'!$C$7="Simples Nacional",Parâmetros!$C$13,E14+E15+E16)</f>
        <v/>
      </c>
      <c r="F17" s="18">
        <f>IF('Dados de Entrada'!$C$7="Simples Nacional",Parâmetros!$C$13,F14+F15+F16)</f>
        <v/>
      </c>
      <c r="G17" s="18">
        <f>IF('Dados de Entrada'!$C$7="Simples Nacional",Parâmetros!$C$13,G14+G15+G16)</f>
        <v/>
      </c>
      <c r="H17" s="18">
        <f>IF('Dados de Entrada'!$C$7="Simples Nacional",Parâmetros!$C$13,H14+H15+H16)</f>
        <v/>
      </c>
      <c r="I17" s="18">
        <f>IF('Dados de Entrada'!$C$7="Simples Nacional",Parâmetros!$C$13,I14+I15+I16)</f>
        <v/>
      </c>
      <c r="J17" s="18">
        <f>IF('Dados de Entrada'!$C$7="Simples Nacional",Parâmetros!$C$13,J14+J15+J16)</f>
        <v/>
      </c>
    </row>
    <row r="18" ht="30" customHeight="1">
      <c r="B18" s="36" t="inlineStr">
        <is>
          <t>Simples Nacional: mantém-se a guia única do DAS (regime não é extinto pela Reforma); a carga do optante padrão permanece pela alíquota efetiva do Simples em todo o período, salvo opção pelo regime regular de apuração do IBS/CBS para repasse de crédito (ver Memória de Cálculo).</t>
        </is>
      </c>
    </row>
    <row r="20" ht="20" customHeight="1">
      <c r="B20" s="6" t="inlineStr">
        <is>
          <t>CRÉDITOS E FORMAÇÃO DE PREÇO</t>
        </is>
      </c>
    </row>
    <row r="21" ht="26" customHeight="1">
      <c r="B21" s="35" t="inlineStr">
        <is>
          <t>Créditos Recuperáveis sobre Insumos (R$)</t>
        </is>
      </c>
      <c r="C21" s="37">
        <f>IF('Dados de Entrada'!$C$7="Simples Nacional",0,'Dados de Entrada'!$C$15*'Dados de Entrada'!$C$16*C17)</f>
        <v/>
      </c>
      <c r="D21" s="37">
        <f>IF('Dados de Entrada'!$C$7="Simples Nacional",0,'Dados de Entrada'!$C$15*'Dados de Entrada'!$C$16*D17)</f>
        <v/>
      </c>
      <c r="E21" s="37">
        <f>IF('Dados de Entrada'!$C$7="Simples Nacional",0,'Dados de Entrada'!$C$15*'Dados de Entrada'!$C$16*E17)</f>
        <v/>
      </c>
      <c r="F21" s="37">
        <f>IF('Dados de Entrada'!$C$7="Simples Nacional",0,'Dados de Entrada'!$C$15*'Dados de Entrada'!$C$16*F17)</f>
        <v/>
      </c>
      <c r="G21" s="37">
        <f>IF('Dados de Entrada'!$C$7="Simples Nacional",0,'Dados de Entrada'!$C$15*'Dados de Entrada'!$C$16*G17)</f>
        <v/>
      </c>
      <c r="H21" s="37">
        <f>IF('Dados de Entrada'!$C$7="Simples Nacional",0,'Dados de Entrada'!$C$15*'Dados de Entrada'!$C$16*H17)</f>
        <v/>
      </c>
      <c r="I21" s="37">
        <f>IF('Dados de Entrada'!$C$7="Simples Nacional",0,'Dados de Entrada'!$C$15*'Dados de Entrada'!$C$16*I17)</f>
        <v/>
      </c>
      <c r="J21" s="37">
        <f>IF('Dados de Entrada'!$C$7="Simples Nacional",0,'Dados de Entrada'!$C$15*'Dados de Entrada'!$C$16*J17)</f>
        <v/>
      </c>
    </row>
    <row r="22">
      <c r="B22" s="33" t="inlineStr">
        <is>
          <t>Custo Líquido de Créditos (R$)</t>
        </is>
      </c>
      <c r="C22" s="37">
        <f>'Dados de Entrada'!$C$14-C21</f>
        <v/>
      </c>
      <c r="D22" s="37">
        <f>'Dados de Entrada'!$C$14-D21</f>
        <v/>
      </c>
      <c r="E22" s="37">
        <f>'Dados de Entrada'!$C$14-E21</f>
        <v/>
      </c>
      <c r="F22" s="37">
        <f>'Dados de Entrada'!$C$14-F21</f>
        <v/>
      </c>
      <c r="G22" s="37">
        <f>'Dados de Entrada'!$C$14-G21</f>
        <v/>
      </c>
      <c r="H22" s="37">
        <f>'Dados de Entrada'!$C$14-H21</f>
        <v/>
      </c>
      <c r="I22" s="37">
        <f>'Dados de Entrada'!$C$14-I21</f>
        <v/>
      </c>
      <c r="J22" s="37">
        <f>'Dados de Entrada'!$C$14-J21</f>
        <v/>
      </c>
    </row>
    <row r="23" ht="26" customHeight="1">
      <c r="B23" s="35" t="inlineStr">
        <is>
          <t>Divisor = 1 − (Desp.Var. + Desp.Fixas + Margem + Carga Total)</t>
        </is>
      </c>
      <c r="C23" s="29">
        <f>1-('Dados de Entrada'!$C$17+'Dados de Entrada'!$C$18+'Dados de Entrada'!$C$19+C17)</f>
        <v/>
      </c>
      <c r="D23" s="29">
        <f>1-('Dados de Entrada'!$C$17+'Dados de Entrada'!$C$18+'Dados de Entrada'!$C$19+D17)</f>
        <v/>
      </c>
      <c r="E23" s="29">
        <f>1-('Dados de Entrada'!$C$17+'Dados de Entrada'!$C$18+'Dados de Entrada'!$C$19+E17)</f>
        <v/>
      </c>
      <c r="F23" s="29">
        <f>1-('Dados de Entrada'!$C$17+'Dados de Entrada'!$C$18+'Dados de Entrada'!$C$19+F17)</f>
        <v/>
      </c>
      <c r="G23" s="29">
        <f>1-('Dados de Entrada'!$C$17+'Dados de Entrada'!$C$18+'Dados de Entrada'!$C$19+G17)</f>
        <v/>
      </c>
      <c r="H23" s="29">
        <f>1-('Dados de Entrada'!$C$17+'Dados de Entrada'!$C$18+'Dados de Entrada'!$C$19+H17)</f>
        <v/>
      </c>
      <c r="I23" s="29">
        <f>1-('Dados de Entrada'!$C$17+'Dados de Entrada'!$C$18+'Dados de Entrada'!$C$19+I17)</f>
        <v/>
      </c>
      <c r="J23" s="29">
        <f>1-('Dados de Entrada'!$C$17+'Dados de Entrada'!$C$18+'Dados de Entrada'!$C$19+J17)</f>
        <v/>
      </c>
    </row>
    <row r="24">
      <c r="B24" s="3" t="inlineStr">
        <is>
          <t>PREÇO DE VENDA NECESSÁRIO (R$)</t>
        </is>
      </c>
      <c r="C24" s="38">
        <f>C22/C23</f>
        <v/>
      </c>
      <c r="D24" s="38">
        <f>D22/D23</f>
        <v/>
      </c>
      <c r="E24" s="38">
        <f>E22/E23</f>
        <v/>
      </c>
      <c r="F24" s="38">
        <f>F22/F23</f>
        <v/>
      </c>
      <c r="G24" s="38">
        <f>G22/G23</f>
        <v/>
      </c>
      <c r="H24" s="38">
        <f>H22/H23</f>
        <v/>
      </c>
      <c r="I24" s="38">
        <f>I22/I23</f>
        <v/>
      </c>
      <c r="J24" s="38">
        <f>J22/J23</f>
        <v/>
      </c>
    </row>
    <row r="25">
      <c r="B25" s="33" t="inlineStr">
        <is>
          <t>Variação de Preço vs. Regime Atual (R$)</t>
        </is>
      </c>
      <c r="C25" s="37">
        <f>C24-'Cálculo Regime Atual'!$C$35</f>
        <v/>
      </c>
      <c r="D25" s="37">
        <f>D24-'Cálculo Regime Atual'!$C$35</f>
        <v/>
      </c>
      <c r="E25" s="37">
        <f>E24-'Cálculo Regime Atual'!$C$35</f>
        <v/>
      </c>
      <c r="F25" s="37">
        <f>F24-'Cálculo Regime Atual'!$C$35</f>
        <v/>
      </c>
      <c r="G25" s="37">
        <f>G24-'Cálculo Regime Atual'!$C$35</f>
        <v/>
      </c>
      <c r="H25" s="37">
        <f>H24-'Cálculo Regime Atual'!$C$35</f>
        <v/>
      </c>
      <c r="I25" s="37">
        <f>I24-'Cálculo Regime Atual'!$C$35</f>
        <v/>
      </c>
      <c r="J25" s="37">
        <f>J24-'Cálculo Regime Atual'!$C$35</f>
        <v/>
      </c>
    </row>
    <row r="26">
      <c r="B26" s="33" t="inlineStr">
        <is>
          <t>Variação de Preço vs. Regime Atual (%)</t>
        </is>
      </c>
      <c r="C26" s="39">
        <f>C24/'Cálculo Regime Atual'!$C$35-1</f>
        <v/>
      </c>
      <c r="D26" s="39">
        <f>D24/'Cálculo Regime Atual'!$C$35-1</f>
        <v/>
      </c>
      <c r="E26" s="39">
        <f>E24/'Cálculo Regime Atual'!$C$35-1</f>
        <v/>
      </c>
      <c r="F26" s="39">
        <f>F24/'Cálculo Regime Atual'!$C$35-1</f>
        <v/>
      </c>
      <c r="G26" s="39">
        <f>G24/'Cálculo Regime Atual'!$C$35-1</f>
        <v/>
      </c>
      <c r="H26" s="39">
        <f>H24/'Cálculo Regime Atual'!$C$35-1</f>
        <v/>
      </c>
      <c r="I26" s="39">
        <f>I24/'Cálculo Regime Atual'!$C$35-1</f>
        <v/>
      </c>
      <c r="J26" s="39">
        <f>J24/'Cálculo Regime Atual'!$C$35-1</f>
        <v/>
      </c>
    </row>
  </sheetData>
  <mergeCells count="6">
    <mergeCell ref="B7:J7"/>
    <mergeCell ref="B20:J20"/>
    <mergeCell ref="C4:E4"/>
    <mergeCell ref="B18:J18"/>
    <mergeCell ref="B13:J13"/>
    <mergeCell ref="B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" customWidth="1" min="1" max="1"/>
    <col width="12" customWidth="1" min="2" max="2"/>
    <col width="24" customWidth="1" min="3" max="3"/>
    <col width="22" customWidth="1" min="4" max="4"/>
    <col width="22" customWidth="1" min="5" max="5"/>
    <col width="24" customWidth="1" min="6" max="6"/>
  </cols>
  <sheetData>
    <row r="2" ht="24" customHeight="1">
      <c r="B2" s="1" t="inlineStr">
        <is>
          <t>COMPARATIVO CONSOLIDADO — 2026 A 2033</t>
        </is>
      </c>
    </row>
    <row r="4">
      <c r="B4" s="3" t="inlineStr">
        <is>
          <t>Produto/Serviço:</t>
        </is>
      </c>
      <c r="C4" s="25">
        <f>'Dados de Entrada'!C5</f>
        <v/>
      </c>
    </row>
    <row r="5">
      <c r="B5" s="3" t="inlineStr">
        <is>
          <t>Regime Tributário:</t>
        </is>
      </c>
      <c r="C5" s="25">
        <f>'Dados de Entrada'!C7</f>
        <v/>
      </c>
    </row>
    <row r="7" ht="30" customHeight="1">
      <c r="B7" s="14" t="inlineStr">
        <is>
          <t>Ano</t>
        </is>
      </c>
      <c r="C7" s="14" t="inlineStr">
        <is>
          <t>Carga Tributária
Efetiva</t>
        </is>
      </c>
      <c r="D7" s="14" t="inlineStr">
        <is>
          <t>Preço de Venda
Necessário (R$)</t>
        </is>
      </c>
      <c r="E7" s="14" t="inlineStr">
        <is>
          <t>Variação vs.
2026 (R$)</t>
        </is>
      </c>
      <c r="F7" s="14" t="inlineStr">
        <is>
          <t>Variação vs.
2026 (%)</t>
        </is>
      </c>
    </row>
    <row r="8">
      <c r="B8" s="40">
        <f>'Cálculo Reforma 2027-2033'!C6</f>
        <v/>
      </c>
      <c r="C8" s="27">
        <f>'Cálculo Reforma 2027-2033'!C17</f>
        <v/>
      </c>
      <c r="D8" s="28">
        <f>'Cálculo Reforma 2027-2033'!C24</f>
        <v/>
      </c>
      <c r="E8" s="28">
        <f>'Cálculo Reforma 2027-2033'!C24-'Cálculo Reforma 2027-2033'!$C$24</f>
        <v/>
      </c>
      <c r="F8" s="39">
        <f>'Cálculo Reforma 2027-2033'!C24/'Cálculo Reforma 2027-2033'!$C$24-1</f>
        <v/>
      </c>
    </row>
    <row r="9">
      <c r="B9" s="41">
        <f>'Cálculo Reforma 2027-2033'!D6</f>
        <v/>
      </c>
      <c r="C9" s="42">
        <f>'Cálculo Reforma 2027-2033'!D17</f>
        <v/>
      </c>
      <c r="D9" s="43">
        <f>'Cálculo Reforma 2027-2033'!D24</f>
        <v/>
      </c>
      <c r="E9" s="43">
        <f>'Cálculo Reforma 2027-2033'!D24-'Cálculo Reforma 2027-2033'!$C$24</f>
        <v/>
      </c>
      <c r="F9" s="44">
        <f>'Cálculo Reforma 2027-2033'!D24/'Cálculo Reforma 2027-2033'!$C$24-1</f>
        <v/>
      </c>
    </row>
    <row r="10">
      <c r="B10" s="40">
        <f>'Cálculo Reforma 2027-2033'!E6</f>
        <v/>
      </c>
      <c r="C10" s="27">
        <f>'Cálculo Reforma 2027-2033'!E17</f>
        <v/>
      </c>
      <c r="D10" s="28">
        <f>'Cálculo Reforma 2027-2033'!E24</f>
        <v/>
      </c>
      <c r="E10" s="28">
        <f>'Cálculo Reforma 2027-2033'!E24-'Cálculo Reforma 2027-2033'!$C$24</f>
        <v/>
      </c>
      <c r="F10" s="39">
        <f>'Cálculo Reforma 2027-2033'!E24/'Cálculo Reforma 2027-2033'!$C$24-1</f>
        <v/>
      </c>
    </row>
    <row r="11">
      <c r="B11" s="41">
        <f>'Cálculo Reforma 2027-2033'!F6</f>
        <v/>
      </c>
      <c r="C11" s="42">
        <f>'Cálculo Reforma 2027-2033'!F17</f>
        <v/>
      </c>
      <c r="D11" s="43">
        <f>'Cálculo Reforma 2027-2033'!F24</f>
        <v/>
      </c>
      <c r="E11" s="43">
        <f>'Cálculo Reforma 2027-2033'!F24-'Cálculo Reforma 2027-2033'!$C$24</f>
        <v/>
      </c>
      <c r="F11" s="44">
        <f>'Cálculo Reforma 2027-2033'!F24/'Cálculo Reforma 2027-2033'!$C$24-1</f>
        <v/>
      </c>
    </row>
    <row r="12">
      <c r="B12" s="40">
        <f>'Cálculo Reforma 2027-2033'!G6</f>
        <v/>
      </c>
      <c r="C12" s="27">
        <f>'Cálculo Reforma 2027-2033'!G17</f>
        <v/>
      </c>
      <c r="D12" s="28">
        <f>'Cálculo Reforma 2027-2033'!G24</f>
        <v/>
      </c>
      <c r="E12" s="28">
        <f>'Cálculo Reforma 2027-2033'!G24-'Cálculo Reforma 2027-2033'!$C$24</f>
        <v/>
      </c>
      <c r="F12" s="39">
        <f>'Cálculo Reforma 2027-2033'!G24/'Cálculo Reforma 2027-2033'!$C$24-1</f>
        <v/>
      </c>
    </row>
    <row r="13">
      <c r="B13" s="41">
        <f>'Cálculo Reforma 2027-2033'!H6</f>
        <v/>
      </c>
      <c r="C13" s="42">
        <f>'Cálculo Reforma 2027-2033'!H17</f>
        <v/>
      </c>
      <c r="D13" s="43">
        <f>'Cálculo Reforma 2027-2033'!H24</f>
        <v/>
      </c>
      <c r="E13" s="43">
        <f>'Cálculo Reforma 2027-2033'!H24-'Cálculo Reforma 2027-2033'!$C$24</f>
        <v/>
      </c>
      <c r="F13" s="44">
        <f>'Cálculo Reforma 2027-2033'!H24/'Cálculo Reforma 2027-2033'!$C$24-1</f>
        <v/>
      </c>
    </row>
    <row r="14">
      <c r="B14" s="40">
        <f>'Cálculo Reforma 2027-2033'!I6</f>
        <v/>
      </c>
      <c r="C14" s="27">
        <f>'Cálculo Reforma 2027-2033'!I17</f>
        <v/>
      </c>
      <c r="D14" s="28">
        <f>'Cálculo Reforma 2027-2033'!I24</f>
        <v/>
      </c>
      <c r="E14" s="28">
        <f>'Cálculo Reforma 2027-2033'!I24-'Cálculo Reforma 2027-2033'!$C$24</f>
        <v/>
      </c>
      <c r="F14" s="39">
        <f>'Cálculo Reforma 2027-2033'!I24/'Cálculo Reforma 2027-2033'!$C$24-1</f>
        <v/>
      </c>
    </row>
    <row r="15">
      <c r="B15" s="41">
        <f>'Cálculo Reforma 2027-2033'!J6</f>
        <v/>
      </c>
      <c r="C15" s="42">
        <f>'Cálculo Reforma 2027-2033'!J17</f>
        <v/>
      </c>
      <c r="D15" s="43">
        <f>'Cálculo Reforma 2027-2033'!J24</f>
        <v/>
      </c>
      <c r="E15" s="43">
        <f>'Cálculo Reforma 2027-2033'!J24-'Cálculo Reforma 2027-2033'!$C$24</f>
        <v/>
      </c>
      <c r="F15" s="44">
        <f>'Cálculo Reforma 2027-2033'!J24/'Cálculo Reforma 2027-2033'!$C$24-1</f>
        <v/>
      </c>
    </row>
    <row r="17" ht="30" customHeight="1">
      <c r="B17" s="16" t="inlineStr">
        <is>
          <t>Observação: a coluna 'Variação vs. 2026' usa como base o preço de venda calculado antes da Reforma (2026 = mesma carga tributária do regime atual, pois a transição só começa a produzir efeito líquido a partir de 2027/2029).</t>
        </is>
      </c>
    </row>
  </sheetData>
  <mergeCells count="2">
    <mergeCell ref="B2:F2"/>
    <mergeCell ref="B17:F17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B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 ht="24" customHeight="1">
      <c r="B2" s="1" t="inlineStr">
        <is>
          <t>MEMÓRIA DE CÁLCULO, PREMISSAS E FONTES</t>
        </is>
      </c>
    </row>
    <row r="4">
      <c r="B4" s="45" t="inlineStr">
        <is>
          <t>1. BASE LEGAL</t>
        </is>
      </c>
    </row>
    <row r="5" ht="30" customHeight="1">
      <c r="B5" s="7" t="inlineStr">
        <is>
          <t>• Emenda Constitucional nº 132, de 20/12/2023 — institui a Reforma Tributária sobre o consumo (arts. 156-A, 195, V, e ADCT arts. 125 a 137).</t>
        </is>
      </c>
    </row>
    <row r="6" ht="45" customHeight="1">
      <c r="B6" s="7" t="inlineStr">
        <is>
          <t>• Lei Complementar nº 214, de 16/01/2025 — regulamenta a CBS, o IBS e o Imposto Seletivo, define regras de não cumulatividade, créditos, cronograma de transição, regimes específicos (Simples Nacional, imunes, cashback) e o Comitê Gestor do IBS.</t>
        </is>
      </c>
    </row>
    <row r="7" ht="45" customHeight="1">
      <c r="B7" s="7" t="inlineStr">
        <is>
          <t>• Legislação atual: Leis nº 9.715/1998, 9.718/1998 (PIS/COFINS cumulativos), 10.637/2002 e 10.833/2003 (PIS/COFINS não cumulativos), Lei Complementar nº 87/1996 (ICMS), Lei Complementar nº 116/2003 (ISS), Lei Complementar nº 123/2006 (Simples Nacional), RIPI/2010 (IPI).</t>
        </is>
      </c>
    </row>
    <row r="9">
      <c r="B9" s="45" t="inlineStr">
        <is>
          <t>2. METODOLOGIA APLICADA</t>
        </is>
      </c>
    </row>
    <row r="10" ht="15" customHeight="1">
      <c r="B10" s="7" t="inlineStr">
        <is>
          <t>1) Identificação da atividade e do tipo de operação (mercadoria/serviço) — aba 'Dados de Entrada'.</t>
        </is>
      </c>
    </row>
    <row r="11" ht="15" customHeight="1">
      <c r="B11" s="7" t="inlineStr">
        <is>
          <t>2) Identificação do regime tributário do cliente (Simples Nacional, Lucro Presumido ou Lucro Real).</t>
        </is>
      </c>
    </row>
    <row r="12" ht="30" customHeight="1">
      <c r="B12" s="7" t="inlineStr">
        <is>
          <t>3) Identificação da tributação aplicável em cada esfera (federal: PIS/COFINS/IPI; estadual/municipal: ICMS/ISS) — aba 'Parâmetros'.</t>
        </is>
      </c>
    </row>
    <row r="13" ht="30" customHeight="1">
      <c r="B13" s="7" t="inlineStr">
        <is>
          <t>4) Cálculo dos tributos nominais e da carga tributária efetiva do regime atual — aba 'Cálculo Regime Atual'.</t>
        </is>
      </c>
    </row>
    <row r="14" ht="30" customHeight="1">
      <c r="B14" s="7" t="inlineStr">
        <is>
          <t>5) Cálculo dos créditos recuperáveis sobre insumos (não cumulatividade) — reduzem o CUSTO na formação de preço, não a alíquota de débito.</t>
        </is>
      </c>
    </row>
    <row r="15" ht="30" customHeight="1">
      <c r="B15" s="7" t="inlineStr">
        <is>
          <t>6) Aplicação do cronograma de transição da Reforma (pesos ano a ano definidos na EC 132/2023 e LC 214/2025) para obter a carga tributária efetiva de 2026 a 2033 — aba 'Cálculo Reforma 2027-2033'.</t>
        </is>
      </c>
    </row>
    <row r="16" ht="30" customHeight="1">
      <c r="B16" s="7" t="inlineStr">
        <is>
          <t>7) Formação do preço de venda pelo método do divisor ('por dentro'): Preço = (Custo − Créditos) ÷ [1 − (%Despesas Variáveis + %Despesas Fixas + %Margem + %Carga Tributária)].</t>
        </is>
      </c>
    </row>
    <row r="17" ht="15" customHeight="1">
      <c r="B17" s="7" t="inlineStr">
        <is>
          <t>8) Comparação dos cenários ano a ano e conclusão — aba 'Comparativo Consolidado'.</t>
        </is>
      </c>
    </row>
    <row r="19">
      <c r="B19" s="45" t="inlineStr">
        <is>
          <t>3. FÓRMULA DE FORMAÇÃO DE PREÇO (MÉTODO DO DIVISOR)</t>
        </is>
      </c>
    </row>
    <row r="20" ht="15" customHeight="1">
      <c r="B20" s="7" t="inlineStr">
        <is>
          <t>Preço de Venda = (Custo Total − Créditos Tributários Recuperáveis) ÷ Divisor</t>
        </is>
      </c>
    </row>
    <row r="21" ht="30" customHeight="1">
      <c r="B21" s="7" t="inlineStr">
        <is>
          <t>Divisor = 1 − (% Despesas Variáveis + % Despesas Fixas + % Margem de Lucro Desejada + % Carga Tributária Efetiva)</t>
        </is>
      </c>
    </row>
    <row r="22" ht="45" customHeight="1">
      <c r="B22" s="7" t="inlineStr">
        <is>
          <t>Este método ('markup divisor' ou preço 'por dentro') é o padrão utilizado em custos e formação de preço no Brasil, pois todos os tributos e percentuais informados incidem sobre o próprio preço de venda (base 'por dentro'), e não sobre o custo.</t>
        </is>
      </c>
    </row>
    <row r="24">
      <c r="B24" s="45" t="inlineStr">
        <is>
          <t>4. PREMISSAS E SIMPLIFICAÇÕES ADOTADAS</t>
        </is>
      </c>
    </row>
    <row r="25" ht="60" customHeight="1">
      <c r="B25" s="7" t="inlineStr">
        <is>
          <t>• As alíquotas de CBS e IBS constantes da aba 'Parâmetros' são ESTIMATIVAS técnicas (associadas a estudos do Ministério da Fazenda e da Instituição Fiscal Independente — IFI, 2024/2025), pois a alíquota de referência definitiva depende de Resolução do Senado Federal, a ser recalibrada anualmente pelo Comitê Gestor do IBS conforme a arrecadação observada. ATUALIZAR sempre que houver nova publicação oficial.</t>
        </is>
      </c>
    </row>
    <row r="26" ht="90" customHeight="1">
      <c r="B26" s="7" t="inlineStr">
        <is>
          <t>• Simples Nacional: a Reforma preserva o regime unificado do DAS para o optante padrão — a carga tributária própria do optante é modelada como CONSTANTE (alíquota efetiva do Simples) em todo o período 2026-2033, pois PIS/COFINS/ICMS/ISS continuam recolhidos dentro da guia única, sem discriminação de CBS/IBS na apuração do próprio contribuinte. A LC 214/2025 faculta ao optante do Simples migrar para o 'regime de apuração regular' do IBS/CBS caso deseje conceder crédito integral a clientes sujeitos ao regime regular (decisão estratégica a avaliar caso a caso — não modelada automaticamente nesta planilha).</t>
        </is>
      </c>
    </row>
    <row r="27" ht="60" customHeight="1">
      <c r="B27" s="7" t="inlineStr">
        <is>
          <t>• Lucro Presumido: no regime ATUAL, PIS/COFINS são cumulativos (sem crédito). Sob a Reforma, CBS e IBS são não cumulativos de forma ampla, inclusive para o Lucro Presumido — por isso a planilha passa a considerar créditos sobre insumos para esse regime a partir da transição, o que representa um ganho relevante a destacar na análise ao cliente.</t>
        </is>
      </c>
    </row>
    <row r="28" ht="45" customHeight="1">
      <c r="B28" s="7" t="inlineStr">
        <is>
          <t>• IPI: por simplificação, foi tratado dentro do mesmo cronograma de extinção do PIS/COFINS (ambos tributos federais eliminados a partir de 2027, exceto industrialização na Zona Franca de Manaus, que mantém tratamento diferenciado e não está contemplada nesta planilha).</t>
        </is>
      </c>
    </row>
    <row r="29" ht="45" customHeight="1">
      <c r="B29" s="7" t="inlineStr">
        <is>
          <t>• Imposto Seletivo (IS): modelado apenas quando o produto for sinalizado como sujeito ao IS em 'Dados de Entrada' (ex.: cigarros, bebidas alcoólicas, veículos poluentes, bens minerais). Alíquota específica deve ser pesquisada por NCM/produto e ajustada em 'Parâmetros'.</t>
        </is>
      </c>
    </row>
    <row r="30" ht="45" customHeight="1">
      <c r="B30" s="7" t="inlineStr">
        <is>
          <t>• Créditos tributários: calculados como % de aproveitamento aplicado sobre os insumos elegíveis, multiplicado pela alíquota nominal (regime atual) ou pela carga efetiva do ano (Reforma). Créditos reduzem o CUSTO líquido usado na fórmula do preço — não reduzem a alíquota de débito que compõe o divisor.</t>
        </is>
      </c>
    </row>
    <row r="31" ht="60" customHeight="1">
      <c r="B31" s="7" t="inlineStr">
        <is>
          <t>• Split payment: a LC 214/2025 prevê mecanismo de recolhimento automático do IBS/CBS no momento da liquidação financeira da venda ('split payment'). Esse mecanismo não altera a carga tributária, mas impacta o fluxo de caixa (o valor do tributo é segregado antes de ingressar na conta do vendedor) — recomenda-se atenção ao capital de giro na transição, não quantificada nesta planilha.</t>
        </is>
      </c>
    </row>
    <row r="32" ht="30" customHeight="1">
      <c r="B32" s="7" t="inlineStr">
        <is>
          <t>• Cashback / devolução para famílias de baixa renda e cesta básica nacional (alíquota zero) não foram modelados, pois dependem do enquadramento específico do produto/serviço e do perfil do consumidor final.</t>
        </is>
      </c>
    </row>
    <row r="34">
      <c r="B34" s="45" t="inlineStr">
        <is>
          <t>5. RECOMENDAÇÕES AO CONSULTOR</t>
        </is>
      </c>
    </row>
    <row r="35" ht="30" customHeight="1">
      <c r="B35" s="7" t="inlineStr">
        <is>
          <t>• Revisar e atualizar a aba 'Parâmetros' periodicamente, especialmente após publicação das alíquotas de referência pelo Senado Federal e das definições do Comitê Gestor do IBS.</t>
        </is>
      </c>
    </row>
    <row r="36" ht="45" customHeight="1">
      <c r="B36" s="7" t="inlineStr">
        <is>
          <t>• Para clientes do Simples Nacional com forte relacionamento B2B (vendas para empresas do regime regular), avaliar a conveniência da opção pelo regime de apuração regular do IBS/CBS, dado o potencial de perda de competitividade caso concorrentes ofereçam crédito integral.</t>
        </is>
      </c>
    </row>
    <row r="37" ht="45" customHeight="1">
      <c r="B37" s="7" t="inlineStr">
        <is>
          <t>• Reavaliar a composição de custos e despesas (aba 'Dados de Entrada') anualmente, pois a Reforma tende a alterar a decisão de compra 'com nota' vs. 'sem nota' (créditos só existem com documentação fiscal idônea).</t>
        </is>
      </c>
    </row>
    <row r="38" ht="30" customHeight="1">
      <c r="B38" s="7" t="inlineStr">
        <is>
          <t>• Esta planilha é uma ferramenta de simulação gerencial: não substitui a apuração fiscal formal, o parecer tributário individualizado nem o acompanhamento da regulamentação infralegal em curso até 2033.</t>
        </is>
      </c>
    </row>
  </sheetData>
  <mergeCells count="1">
    <mergeCell ref="B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2026-07-29T19:37:24Z</dcterms:created>
  <dcterms:modified xsi:type="dcterms:W3CDTF">2026-07-29T19:37:24Z</dcterms:modified>
</cp:coreProperties>
</file>